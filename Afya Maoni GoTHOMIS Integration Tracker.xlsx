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8FDB425-85D8-434F-B3DA-06159FA4A9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lementation Tracker" sheetId="1" r:id="rId1"/>
    <sheet name="Summary" sheetId="2" r:id="rId2"/>
  </sheets>
  <calcPr calcId="191029"/>
</workbook>
</file>

<file path=xl/calcChain.xml><?xml version="1.0" encoding="utf-8"?>
<calcChain xmlns="http://schemas.openxmlformats.org/spreadsheetml/2006/main">
  <c r="B7" i="2" l="1"/>
  <c r="B6" i="2"/>
  <c r="B5" i="2"/>
  <c r="B4" i="2"/>
  <c r="I87" i="1" a="1"/>
  <c r="I87" i="1" s="1"/>
  <c r="I86" i="1" a="1"/>
  <c r="I86" i="1" s="1"/>
  <c r="I85" i="1" a="1"/>
  <c r="I85" i="1" s="1"/>
  <c r="I84" i="1" a="1"/>
  <c r="I84" i="1" s="1"/>
  <c r="I83" i="1" a="1"/>
  <c r="I83" i="1" s="1"/>
  <c r="I82" i="1" a="1"/>
  <c r="I82" i="1" s="1"/>
  <c r="I81" i="1" a="1"/>
  <c r="I81" i="1" s="1"/>
  <c r="I80" i="1" a="1"/>
  <c r="I80" i="1" s="1"/>
  <c r="I79" i="1" a="1"/>
  <c r="I79" i="1" s="1"/>
  <c r="I78" i="1" a="1"/>
  <c r="I78" i="1" s="1"/>
  <c r="I77" i="1" a="1"/>
  <c r="I77" i="1" s="1"/>
  <c r="I76" i="1" a="1"/>
  <c r="I76" i="1" s="1"/>
  <c r="I75" i="1" a="1"/>
  <c r="I75" i="1" s="1"/>
  <c r="I74" i="1" a="1"/>
  <c r="I74" i="1" s="1"/>
  <c r="I73" i="1" a="1"/>
  <c r="I73" i="1" s="1"/>
  <c r="I72" i="1" a="1"/>
  <c r="I72" i="1" s="1"/>
  <c r="I71" i="1" a="1"/>
  <c r="I71" i="1" s="1"/>
  <c r="I70" i="1" a="1"/>
  <c r="I70" i="1" s="1"/>
  <c r="I69" i="1" a="1"/>
  <c r="I69" i="1" s="1"/>
  <c r="I68" i="1" a="1"/>
  <c r="I68" i="1" s="1"/>
  <c r="I67" i="1" a="1"/>
  <c r="I67" i="1" s="1"/>
  <c r="I66" i="1" a="1"/>
  <c r="I66" i="1" s="1"/>
  <c r="I65" i="1" a="1"/>
  <c r="I65" i="1" s="1"/>
  <c r="I64" i="1" a="1"/>
  <c r="I64" i="1" s="1"/>
  <c r="I63" i="1" a="1"/>
  <c r="I63" i="1" s="1"/>
  <c r="I62" i="1" a="1"/>
  <c r="I62" i="1" s="1"/>
  <c r="I61" i="1" a="1"/>
  <c r="I61" i="1" s="1"/>
  <c r="I60" i="1" a="1"/>
  <c r="I60" i="1" s="1"/>
  <c r="I59" i="1" a="1"/>
  <c r="I59" i="1" s="1"/>
  <c r="I58" i="1" a="1"/>
  <c r="I58" i="1" s="1"/>
  <c r="I57" i="1" a="1"/>
  <c r="I57" i="1" s="1"/>
  <c r="I56" i="1" a="1"/>
  <c r="I56" i="1" s="1"/>
  <c r="I55" i="1" a="1"/>
  <c r="I55" i="1" s="1"/>
  <c r="I54" i="1" a="1"/>
  <c r="I54" i="1" s="1"/>
  <c r="I53" i="1" a="1"/>
  <c r="I53" i="1" s="1"/>
  <c r="I52" i="1" a="1"/>
  <c r="I52" i="1" s="1"/>
  <c r="I51" i="1" a="1"/>
  <c r="I51" i="1" s="1"/>
  <c r="I50" i="1" a="1"/>
  <c r="I50" i="1" s="1"/>
  <c r="I49" i="1" a="1"/>
  <c r="I49" i="1" s="1"/>
  <c r="I48" i="1" a="1"/>
  <c r="I48" i="1" s="1"/>
  <c r="I47" i="1" a="1"/>
  <c r="I47" i="1" s="1"/>
  <c r="I46" i="1" a="1"/>
  <c r="I46" i="1" s="1"/>
  <c r="I45" i="1" a="1"/>
  <c r="I45" i="1" s="1"/>
  <c r="I44" i="1" a="1"/>
  <c r="I44" i="1" s="1"/>
  <c r="I43" i="1" a="1"/>
  <c r="I43" i="1" s="1"/>
  <c r="I42" i="1" a="1"/>
  <c r="I42" i="1" s="1"/>
  <c r="I41" i="1" a="1"/>
  <c r="I41" i="1" s="1"/>
  <c r="I40" i="1" a="1"/>
  <c r="I40" i="1" s="1"/>
  <c r="I39" i="1" a="1"/>
  <c r="I39" i="1" s="1"/>
  <c r="I38" i="1" a="1"/>
  <c r="I38" i="1" s="1"/>
  <c r="I37" i="1" a="1"/>
  <c r="I37" i="1" s="1"/>
  <c r="I36" i="1" a="1"/>
  <c r="I36" i="1" s="1"/>
  <c r="I35" i="1" a="1"/>
  <c r="I35" i="1" s="1"/>
  <c r="I34" i="1" a="1"/>
  <c r="I34" i="1" s="1"/>
  <c r="I33" i="1" a="1"/>
  <c r="I33" i="1" s="1"/>
  <c r="I32" i="1" a="1"/>
  <c r="I32" i="1" s="1"/>
  <c r="I31" i="1" a="1"/>
  <c r="I31" i="1" s="1"/>
  <c r="I30" i="1" a="1"/>
  <c r="I30" i="1" s="1"/>
  <c r="I29" i="1" a="1"/>
  <c r="I29" i="1" s="1"/>
  <c r="I28" i="1" a="1"/>
  <c r="I28" i="1" s="1"/>
  <c r="I27" i="1" a="1"/>
  <c r="I27" i="1" s="1"/>
  <c r="I26" i="1" a="1"/>
  <c r="I26" i="1" s="1"/>
  <c r="I25" i="1" a="1"/>
  <c r="I25" i="1" s="1"/>
  <c r="I24" i="1" a="1"/>
  <c r="I24" i="1" s="1"/>
  <c r="I23" i="1" a="1"/>
  <c r="I23" i="1" s="1"/>
  <c r="I22" i="1" a="1"/>
  <c r="I22" i="1" s="1"/>
  <c r="I21" i="1" a="1"/>
  <c r="I21" i="1" s="1"/>
  <c r="L20" i="1"/>
  <c r="I20" i="1" a="1"/>
  <c r="I20" i="1" s="1"/>
  <c r="I19" i="1" a="1"/>
  <c r="I19" i="1" s="1"/>
  <c r="C7" i="1"/>
  <c r="C6" i="1"/>
  <c r="C5" i="1"/>
  <c r="C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x:ext xmlns:x="http://schemas.openxmlformats.org/spreadsheetml/2006/main" uri="{bdbb8cdc-fa1e-496e-a857-3c3f30c029c3}">
          <xda:dynamicArrayProperties xmlns:xda="http://schemas.microsoft.com/office/spreadsheetml/2017/dynamicarray" fDynamic="1" fCollapsed="0"/>
        </x: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<sst xmlns="http://schemas.openxmlformats.org/spreadsheetml/2006/main" count="246" uniqueCount="196">
  <si>
    <t>Metric</t>
  </si>
  <si>
    <t>Value</t>
  </si>
  <si>
    <t>Total Activities</t>
  </si>
  <si>
    <t>Completed</t>
  </si>
  <si>
    <t>In Progress</t>
  </si>
  <si>
    <t>Not Started</t>
  </si>
  <si>
    <t>How to use</t>
  </si>
  <si>
    <t>Enter progress as a percentage, e.g. 25%, 70% or 100%.</t>
  </si>
  <si>
    <t>Completion indicator</t>
  </si>
  <si>
    <t>At 100%, the Completion column automatically shows a green ✓-Completed, ~ In Progress ; otherwise it shows ○.</t>
  </si>
  <si>
    <t>MAIN ACTIVITY</t>
  </si>
  <si>
    <t>Sub-Activity</t>
  </si>
  <si>
    <t>Implementation</t>
  </si>
  <si>
    <t>Status in Percentage</t>
  </si>
  <si>
    <t>Start Date</t>
  </si>
  <si>
    <t>End Date</t>
  </si>
  <si>
    <t>Responsible Personnel</t>
  </si>
  <si>
    <t>Completion</t>
  </si>
  <si>
    <t>1. Reference Data &amp; Configuration</t>
  </si>
  <si>
    <t>Configure Facility Mapping</t>
  </si>
  <si>
    <t>Maintain mapping between GOTHOMIS HFR facility codes and the corresponding Afya Maoni facility codes.</t>
  </si>
  <si>
    <t>Integration / Business</t>
  </si>
  <si>
    <t>Configure Service Point Codes</t>
  </si>
  <si>
    <t>Maintain agreed OPD, IPD, RCH, LAB, PHA, EMD and additional service-point mappings.</t>
  </si>
  <si>
    <t>Configure Type of Care Codes</t>
  </si>
  <si>
    <t>Maintain agreed mappings for OUTPATIENT, INPATIENT, ANC, PNC, FP and additional care values.</t>
  </si>
  <si>
    <t>Configure Feedback Channels</t>
  </si>
  <si>
    <t>Maintain the agreed feedback channels, including IVR and WhatsApp.</t>
  </si>
  <si>
    <t>Afya Maoni / Business</t>
  </si>
  <si>
    <t>2. Client Consent &amp; Eligibility</t>
  </si>
  <si>
    <t>Capture Feedback Consent</t>
  </si>
  <si>
    <t>Record whether the client agrees to be contacted for feedback.</t>
  </si>
  <si>
    <t>GOTHOMIS Backend / Business</t>
  </si>
  <si>
    <t>Consent Validation</t>
  </si>
  <si>
    <t>Share visit information only when Consent Status is true.</t>
  </si>
  <si>
    <t>GOTHOMIS Backend</t>
  </si>
  <si>
    <t>Client Opt-Out</t>
  </si>
  <si>
    <t>Respect withdrawal of consent and prevent subsequent feedback contact.</t>
  </si>
  <si>
    <t>Backend / Business</t>
  </si>
  <si>
    <t>Phone Number Validation</t>
  </si>
  <si>
    <t>Validate eligible client mobile numbers before transmission.</t>
  </si>
  <si>
    <t>3. Visit Data Exchange</t>
  </si>
  <si>
    <t>Visit Integration API</t>
  </si>
  <si>
    <t>Implement GOTHOMIS transmission of eligible visit information to Afya Maoni through the integration gateways.</t>
  </si>
  <si>
    <t>Backend / Integration</t>
  </si>
  <si>
    <t>Facility Information</t>
  </si>
  <si>
    <t>Send the HFR facility identifier associated with the visit.</t>
  </si>
  <si>
    <t>Client Demographics</t>
  </si>
  <si>
    <t>Send age, sex and applicable pregnancy status.</t>
  </si>
  <si>
    <t>Service Point Visit</t>
  </si>
  <si>
    <t>Send service points visited during the encounter.</t>
  </si>
  <si>
    <t>Visit Identification</t>
  </si>
  <si>
    <t>Send MRN and unique Visit ID for linkage and duplicate detection.</t>
  </si>
  <si>
    <t>Type of Care</t>
  </si>
  <si>
    <t>Send applicable care values recorded during the visit.</t>
  </si>
  <si>
    <t>Visit Date</t>
  </si>
  <si>
    <t>Send visit date and time using the agreed ISO 8601 format.</t>
  </si>
  <si>
    <t>Visit Trigger</t>
  </si>
  <si>
    <t>Automatically initiate the integration at the agreed point in the client visit workflow.</t>
  </si>
  <si>
    <t>4. Afya Maoni Survey Initiation</t>
  </si>
  <si>
    <t>Visit Acknowledgement</t>
  </si>
  <si>
    <t>Return an acknowledgement after successful receipt and validation of visit information.</t>
  </si>
  <si>
    <t>Afya Maoni Backend</t>
  </si>
  <si>
    <t>SMS Invitation</t>
  </si>
  <si>
    <t>Send an SMS invitation to eligible clients after receiving visit information.</t>
  </si>
  <si>
    <t>Afya Maoni</t>
  </si>
  <si>
    <t>IVR Survey Initiation</t>
  </si>
  <si>
    <t>Allow invited clients to initiate the feedback survey through IVR.</t>
  </si>
  <si>
    <t>WhatsApp Survey Initiation</t>
  </si>
  <si>
    <t>Allow invited clients to initiate the feedback survey through WhatsApp.</t>
  </si>
  <si>
    <t>Survey Continuation</t>
  </si>
  <si>
    <t>Continue the survey without repeating valid information already supplied by GOTHOMIS.</t>
  </si>
  <si>
    <t>Remaining Questions</t>
  </si>
  <si>
    <t>Ask unanswered applicable questions, including education level and travel time.</t>
  </si>
  <si>
    <t>5. Feedback Exchange to GOTHOMIS</t>
  </si>
  <si>
    <t>Feedback API</t>
  </si>
  <si>
    <t>Implement transmission of completed Afya Maoni feedback to GOTHOMIS.</t>
  </si>
  <si>
    <t>Feedback-to-Visit Linkage</t>
  </si>
  <si>
    <t>Link returned feedback to the original Visit ID and MRN.</t>
  </si>
  <si>
    <t>Feedback Identification</t>
  </si>
  <si>
    <t>Capture the unique Feedback ID for each returned feedback record.</t>
  </si>
  <si>
    <t>Response Date</t>
  </si>
  <si>
    <t>Capture the date and time when feedback was completed.</t>
  </si>
  <si>
    <t>Feedback Channel</t>
  </si>
  <si>
    <t>Capture the channel used to submit feedback.</t>
  </si>
  <si>
    <t>Overall Satisfaction</t>
  </si>
  <si>
    <t>Capture the client's overall satisfaction response.</t>
  </si>
  <si>
    <t>Survey Responses</t>
  </si>
  <si>
    <t>Store question codes, questions and client responses.</t>
  </si>
  <si>
    <t>Client Comments</t>
  </si>
  <si>
    <t>Store optional free-text feedback comments.</t>
  </si>
  <si>
    <t>Display returned feedback in GOTHOMIS for authorised facility teams.</t>
  </si>
  <si>
    <t>Frontend / Backend</t>
  </si>
  <si>
    <t>6. Validation &amp; Error Handling</t>
  </si>
  <si>
    <t>Payload Validation</t>
  </si>
  <si>
    <t>Validate required fields, formats and agreed code values.</t>
  </si>
  <si>
    <t>HTTP Response Handling</t>
  </si>
  <si>
    <t>Implement agreed success and error response handling.</t>
  </si>
  <si>
    <t>Retry Mechanism</t>
  </si>
  <si>
    <t>Retry eligible 429, 500, 503 and timeout failures.</t>
  </si>
  <si>
    <t>Retry Schedule</t>
  </si>
  <si>
    <t>Apply the agreed 1, 5 and 15 minute retry intervals, respecting Retry-After for 429.</t>
  </si>
  <si>
    <t>Failed Records Queue</t>
  </si>
  <si>
    <t>Queue transactions that remain unsuccessful after the final retry.</t>
  </si>
  <si>
    <t>Backend / DevOps</t>
  </si>
  <si>
    <t>Duplicate Visit Handling</t>
  </si>
  <si>
    <t>Prevent duplicate visit processing using Visit ID.</t>
  </si>
  <si>
    <t>Backend</t>
  </si>
  <si>
    <t>Duplicate Feedback Handling</t>
  </si>
  <si>
    <t>Prevent duplicate feedback processing using Feedback ID.</t>
  </si>
  <si>
    <t>Conflict Handling</t>
  </si>
  <si>
    <t>Return and review 409 conflicts when the same identifier arrives with different content.</t>
  </si>
  <si>
    <t>7. Security &amp; Privacy</t>
  </si>
  <si>
    <t>HTTPS/TLS Security</t>
  </si>
  <si>
    <t>Enforce HTTPS using TLS 1.2 or higher for all integration traffic.</t>
  </si>
  <si>
    <t>DevOps / Security</t>
  </si>
  <si>
    <t>API Authentication</t>
  </si>
  <si>
    <t>Implement the agreed authentication through HIM and Muungano Gateway.</t>
  </si>
  <si>
    <t>Backend / Security</t>
  </si>
  <si>
    <t>Environment Credentials</t>
  </si>
  <si>
    <t>Maintain separate credentials for sandbox and production environments.</t>
  </si>
  <si>
    <t>IP Allowlisting</t>
  </si>
  <si>
    <t>Restrict API access to approved source IP addresses.</t>
  </si>
  <si>
    <t>Data Encryption</t>
  </si>
  <si>
    <t>Protect personal and health information in transit and at rest.</t>
  </si>
  <si>
    <t>Security / DevOps</t>
  </si>
  <si>
    <t>Secure Logging</t>
  </si>
  <si>
    <t>Prevent full personal-data payloads from being stored in integration logs.</t>
  </si>
  <si>
    <t>Access Control</t>
  </si>
  <si>
    <t>Restrict access to feedback and integration data to authorised personnel.</t>
  </si>
  <si>
    <t>Security / Business</t>
  </si>
  <si>
    <t>Data Retention Rules</t>
  </si>
  <si>
    <t>Agree and implement retention/anonymisation periods for contact details and feedback records.</t>
  </si>
  <si>
    <t>Business / Security</t>
  </si>
  <si>
    <t>8. Audit, Monitoring &amp; Reconciliation</t>
  </si>
  <si>
    <t>Transaction Logging</t>
  </si>
  <si>
    <t>Log request ID, timestamp, HTTP status and processing duration.</t>
  </si>
  <si>
    <t>Integration Audit Trail</t>
  </si>
  <si>
    <t>Maintain traceability of visit and feedback exchanges.</t>
  </si>
  <si>
    <t>Failed Transaction Monitoring</t>
  </si>
  <si>
    <t>Monitor failed integration transactions for investigation.</t>
  </si>
  <si>
    <t>DevOps / Support</t>
  </si>
  <si>
    <t>Transaction Reconciliation</t>
  </si>
  <si>
    <t>Reconcile GOTHOMIS and Afya Maoni transactions using Visit ID and Feedback ID.</t>
  </si>
  <si>
    <t>Integration / Support</t>
  </si>
  <si>
    <t>Transaction Count Monitoring</t>
  </si>
  <si>
    <t>Compare daily transaction volumes between participating systems.</t>
  </si>
  <si>
    <t>API Availability Monitoring</t>
  </si>
  <si>
    <t>Monitor APIs against the agreed 99.5% monthly availability target.</t>
  </si>
  <si>
    <t>DevOps</t>
  </si>
  <si>
    <t>Maintenance Notification</t>
  </si>
  <si>
    <t>Support at least 48 hours' notice for planned maintenance.</t>
  </si>
  <si>
    <t>PM / DevOps</t>
  </si>
  <si>
    <t>9. Integration Testing &amp; UAT</t>
  </si>
  <si>
    <t>Sandbox Configuration</t>
  </si>
  <si>
    <t>Configure the integration sandbox using non-production client data.</t>
  </si>
  <si>
    <t>DevOps / Integration</t>
  </si>
  <si>
    <t>Visit API Testing</t>
  </si>
  <si>
    <t>Test valid, invalid and incomplete visit payloads.</t>
  </si>
  <si>
    <t>QA / Backend</t>
  </si>
  <si>
    <t>Consent Testing</t>
  </si>
  <si>
    <t>Verify that only consented clients are transmitted.</t>
  </si>
  <si>
    <t>QA / Business</t>
  </si>
  <si>
    <t>Duplicate Testing</t>
  </si>
  <si>
    <t>Test duplicate Visit ID and Feedback ID scenarios.</t>
  </si>
  <si>
    <t>IVR Journey Testing</t>
  </si>
  <si>
    <t>Test the complete client feedback journey through IVR.</t>
  </si>
  <si>
    <t>QA / Afya Maoni</t>
  </si>
  <si>
    <t>WhatsApp Journey Testing</t>
  </si>
  <si>
    <t>Test the complete client feedback journey through WhatsApp.</t>
  </si>
  <si>
    <t>Care Mapping Testing</t>
  </si>
  <si>
    <t>Validate type-of-care and survey-question mappings.</t>
  </si>
  <si>
    <t>Feedback Linkage Testing</t>
  </si>
  <si>
    <t>Verify feedback is returned against the correct source visit.</t>
  </si>
  <si>
    <t>QA / Integration</t>
  </si>
  <si>
    <t>End-to-End Testing</t>
  </si>
  <si>
    <t>Test GOTHOMIS → Afya Maoni → SMS → IVR/WhatsApp → GOTHOMIS flow.</t>
  </si>
  <si>
    <t>UAT Sign-Off</t>
  </si>
  <si>
    <t>Obtain written approval from both parties before production release.</t>
  </si>
  <si>
    <t>PMORALG / MOH / QA</t>
  </si>
  <si>
    <t>10. Deployment &amp; Support</t>
  </si>
  <si>
    <t>Production Configuration</t>
  </si>
  <si>
    <t>Configure approved production endpoints and credentials.</t>
  </si>
  <si>
    <t>Production Deployment</t>
  </si>
  <si>
    <t>Deploy the approved integration to the production environment.</t>
  </si>
  <si>
    <t>Post-Go-Live Validation</t>
  </si>
  <si>
    <t>Validate transactions and feedback linkage after production deployment.</t>
  </si>
  <si>
    <t>Technical Support Contacts</t>
  </si>
  <si>
    <t>Maintain designated GOTHOMIS and Afya Maoni technical support contacts.</t>
  </si>
  <si>
    <t>PMORALG / MOH</t>
  </si>
  <si>
    <t>Operational Handover</t>
  </si>
  <si>
    <t>Hand over monitoring, reconciliation and incident procedures to support teams.</t>
  </si>
  <si>
    <t>PM / Support</t>
  </si>
  <si>
    <t>Afya Maoni &amp; GoTHOMIS Integration – Progress Summary</t>
  </si>
  <si>
    <t>At 100%, Completion shows ✓ - Completed; between 1% and 99% it shows ~ In Progress; otherwise ○ - Not Started.</t>
  </si>
  <si>
    <t>Feedback Display (score card)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</si>
</sst>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0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0"/>
      <name val="Arial"/>
    </font>
    <font>
      <b/>
      <sz val="11"/>
      <name val="Arial Narrow"/>
    </font>
    <font>
      <sz val="11"/>
      <name val="Arial Narrow"/>
    </font>
    <font>
      <b/>
      <sz val="14"/>
      <name val="Arial Narrow"/>
    </font>
    <font>
      <sz val="14"/>
      <name val="Arial Narrow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9" tint="0.79995117038483843"/>
        <bgColor indexed="65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0" xfId="0" applyFont="1" applyFill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9" fontId="4" fillId="0" borderId="0" xfId="0" applyNumberFormat="1" applyFont="1" applyAlignment="1">
      <alignment wrapText="1"/>
    </xf>
    <xf numFmtId="164" fontId="4" fillId="0" borderId="0" xfId="0" applyNumberFormat="1" applyFont="1" applyAlignment="1">
      <alignment wrapText="1"/>
    </xf>
    <xf numFmtId="0" fontId="1" fillId="2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/>
    <xf numFmtId="0" fontId="7" fillId="0" borderId="0" xfId="0" applyFont="1"/>
    <xf numFmtId="0" fontId="5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wrapText="1"/>
    </xf>
    <xf numFmtId="0" fontId="5" fillId="6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8" fillId="4" borderId="1" xfId="0" applyFont="1" applyFill="1" applyBorder="1"/>
    <xf numFmtId="0" fontId="7" fillId="4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8" fillId="4" borderId="5" xfId="0" applyFont="1" applyFill="1" applyBorder="1"/>
    <xf numFmtId="0" fontId="7" fillId="4" borderId="6" xfId="0" applyFont="1" applyFill="1" applyBorder="1"/>
    <xf numFmtId="0" fontId="2" fillId="2" borderId="0" xfId="0" applyFont="1" applyFill="1" applyAlignment="1">
      <alignment horizontal="center"/>
    </xf>
    <xf numFmtId="0" fontId="9" fillId="0" borderId="0" xfId="0" applyFont="1" applyAlignment="1">
      <alignment wrapText="1"/>
    </xf>
  </cellXfs>
  <cellStyles count="1">
    <cellStyle name="Normal" xfId="0" builtinId="0"/>
  </cellStyles>
  <dxfs count="19">
    <dxf>
      <font>
        <b/>
        <color rgb="FF274E13"/>
      </font>
      <fill>
        <patternFill>
          <bgColor rgb="FFD9EAD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u val="none"/>
        <sz val="14"/>
        <color auto="1"/>
        <name val="Arial Narrow"/>
        <family val="2"/>
        <scheme val="none"/>
      </font>
      <fill>
        <patternFill>
          <bgColor indexed="64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u val="none"/>
        <sz val="14"/>
        <color auto="1"/>
        <name val="Arial Narrow"/>
        <family val="2"/>
        <scheme val="none"/>
      </font>
      <fill>
        <patternFill>
          <bgColor indexed="6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u val="none"/>
        <sz val="10"/>
        <color auto="1"/>
        <name val="Arial"/>
        <family val="2"/>
        <scheme val="none"/>
      </font>
    </dxf>
    <dxf>
      <font>
        <u val="none"/>
        <sz val="10"/>
        <color auto="1"/>
        <name val="Arial"/>
        <family val="2"/>
        <scheme val="none"/>
      </font>
    </dxf>
    <dxf>
      <font>
        <u val="none"/>
        <sz val="10"/>
        <color auto="1"/>
        <name val="Arial"/>
        <family val="2"/>
        <scheme val="none"/>
      </font>
    </dxf>
    <dxf>
      <font>
        <u val="none"/>
        <sz val="10"/>
        <color auto="1"/>
        <name val="Arial"/>
        <family val="2"/>
        <scheme val="none"/>
      </font>
    </dxf>
    <dxf>
      <font>
        <u val="none"/>
        <sz val="10"/>
        <color auto="1"/>
        <name val="Arial"/>
        <family val="2"/>
        <scheme val="none"/>
      </font>
    </dxf>
    <dxf>
      <font>
        <u val="none"/>
        <sz val="10"/>
        <color auto="1"/>
        <name val="Arial"/>
        <family val="2"/>
        <scheme val="none"/>
      </font>
    </dxf>
    <dxf>
      <font>
        <u val="none"/>
        <sz val="10"/>
        <color auto="1"/>
        <name val="Arial"/>
        <family val="2"/>
        <scheme val="none"/>
      </font>
    </dxf>
    <dxf>
      <font>
        <u val="none"/>
        <sz val="10"/>
        <color auto="1"/>
        <name val="Arial"/>
        <family val="2"/>
        <scheme val="none"/>
      </font>
    </dxf>
    <dxf>
      <font>
        <u val="no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800" b="1" i="0" u="none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</a:rPr>
              <a:t>Activity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56082">
                <a:alpha val="84706"/>
              </a:srgbClr>
            </a:solidFill>
            <a:ln w="9525" cmpd="sng">
              <a:solidFill>
                <a:schemeClr val="lt1">
                  <a:alpha val="50000"/>
                </a:schemeClr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B050">
                  <a:alpha val="85000"/>
                </a:srgbClr>
              </a:solidFill>
              <a:ln w="9525" cmpd="sng">
                <a:solidFill>
                  <a:schemeClr val="lt1">
                    <a:alpha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D81-43F6-92D7-1925E2509872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mpd="sng">
                <a:solidFill>
                  <a:schemeClr val="lt1">
                    <a:alpha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D81-43F6-92D7-1925E2509872}"/>
              </c:ext>
            </c:extLst>
          </c:dPt>
          <c:dPt>
            <c:idx val="2"/>
            <c:invertIfNegative val="1"/>
            <c:bubble3D val="0"/>
            <c:spPr>
              <a:solidFill>
                <a:srgbClr val="FB7777">
                  <a:alpha val="85000"/>
                </a:srgbClr>
              </a:solidFill>
              <a:ln w="9525" cmpd="sng">
                <a:solidFill>
                  <a:schemeClr val="lt1">
                    <a:alpha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D81-43F6-92D7-1925E2509872}"/>
              </c:ext>
            </c:extLst>
          </c:dPt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1" i="0" u="none">
                    <a:solidFill>
                      <a:schemeClr val="lt1"/>
                    </a:solidFill>
                    <a:latin typeface="+mn-lt"/>
                    <a:ea typeface="+mn-lt"/>
                    <a:cs typeface="+mn-lt"/>
                  </a:defRPr>
                </a:pPr>
                <a:endParaRPr lang="en-T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'Implementation Tracker'!$B$5:$B$7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'Implementation Tracker'!$C$5:$C$7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chemeClr val="lt1">
                        <a:alpha val="50000"/>
                      </a:scheme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DD81-43F6-92D7-1925E250987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85705216"/>
        <c:axId val="1585704320"/>
      </c:barChart>
      <c:catAx>
        <c:axId val="158570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9050" cmpd="sng">
            <a:solidFill>
              <a:schemeClr val="dk1">
                <a:lumMod val="75000"/>
                <a:lumOff val="2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 cap="all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TZ"/>
          </a:p>
        </c:txPr>
        <c:crossAx val="1585704320"/>
        <c:crosses val="autoZero"/>
        <c:auto val="1"/>
        <c:lblAlgn val="ctr"/>
        <c:lblOffset val="100"/>
        <c:noMultiLvlLbl val="0"/>
      </c:catAx>
      <c:valAx>
        <c:axId val="1585704320"/>
        <c:scaling>
          <c:orientation val="minMax"/>
        </c:scaling>
        <c:delete val="1"/>
        <c:axPos val="l"/>
        <c:majorGridlines>
          <c:spPr>
            <a:ln w="9525" cmpd="sng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</a:ln>
          </c:spPr>
        </c:majorGridlines>
        <c:numFmt formatCode="General" sourceLinked="1"/>
        <c:majorTickMark val="none"/>
        <c:minorTickMark val="none"/>
        <c:tickLblPos val="nextTo"/>
        <c:crossAx val="1585705216"/>
        <c:crosses val="autoZero"/>
        <c:crossBetween val="between"/>
      </c:valAx>
      <c:spPr>
        <a:noFill/>
        <a:ln>
          <a:noFill/>
        </a:ln>
      </c:spPr>
    </c:plotArea>
    <c:plotVisOnly val="1"/>
    <c:dispBlanksAs val="zero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mpd="sng">
      <a:solidFill>
        <a:schemeClr val="dk1">
          <a:lumMod val="25000"/>
          <a:lumOff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600" b="1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662F-4041-B1F5-A7BFA9157E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662F-4041-B1F5-A7BFA9157E14}"/>
              </c:ext>
            </c:extLst>
          </c:dPt>
          <c:dPt>
            <c:idx val="2"/>
            <c:bubble3D val="0"/>
            <c:spPr>
              <a:solidFill>
                <a:srgbClr val="FC6B8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662F-4041-B1F5-A7BFA9157E1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</c:spPr>
              <c:txPr>
                <a:bodyPr anchorCtr="1"/>
                <a:lstStyle/>
                <a:p>
                  <a:pPr>
                    <a:defRPr sz="1000" b="1" i="0" u="none">
                      <a:solidFill>
                        <a:schemeClr val="accent1"/>
                      </a:solidFill>
                      <a:latin typeface="+mn-lt"/>
                      <a:ea typeface="+mn-lt"/>
                      <a:cs typeface="+mn-lt"/>
                    </a:defRPr>
                  </a:pPr>
                  <a:endParaRPr lang="en-TZ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62F-4041-B1F5-A7BFA9157E14}"/>
                </c:ext>
              </c:extLst>
            </c:dLbl>
            <c:dLbl>
              <c:idx val="1"/>
              <c:spPr>
                <a:noFill/>
                <a:ln>
                  <a:noFill/>
                </a:ln>
              </c:spPr>
              <c:txPr>
                <a:bodyPr anchorCtr="1"/>
                <a:lstStyle/>
                <a:p>
                  <a:pPr>
                    <a:defRPr sz="1000" b="1" i="0" u="none">
                      <a:solidFill>
                        <a:schemeClr val="accent2"/>
                      </a:solidFill>
                      <a:latin typeface="+mn-lt"/>
                      <a:ea typeface="+mn-lt"/>
                      <a:cs typeface="+mn-lt"/>
                    </a:defRPr>
                  </a:pPr>
                  <a:endParaRPr lang="en-TZ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62F-4041-B1F5-A7BFA9157E14}"/>
                </c:ext>
              </c:extLst>
            </c:dLbl>
            <c:dLbl>
              <c:idx val="2"/>
              <c:spPr>
                <a:noFill/>
                <a:ln>
                  <a:noFill/>
                </a:ln>
              </c:spPr>
              <c:txPr>
                <a:bodyPr anchorCtr="1"/>
                <a:lstStyle/>
                <a:p>
                  <a:pPr>
                    <a:defRPr sz="1000" b="1" i="0" u="none">
                      <a:solidFill>
                        <a:schemeClr val="accent3"/>
                      </a:solidFill>
                      <a:latin typeface="+mn-lt"/>
                      <a:ea typeface="+mn-lt"/>
                      <a:cs typeface="+mn-lt"/>
                    </a:defRPr>
                  </a:pPr>
                  <a:endParaRPr lang="en-TZ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62F-4041-B1F5-A7BFA9157E14}"/>
                </c:ext>
              </c:extLst>
            </c:dLbl>
            <c:spPr>
              <a:noFill/>
              <a:ln>
                <a:noFill/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'Implementation Tracker'!$B$5:$B$7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'Implementation Tracker'!$C$5:$C$7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2F-4041-B1F5-A7BFA9157E1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Activity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Series 1</c:v>
          </c:tx>
          <c:invertIfNegative val="1"/>
          <c:dPt>
            <c:idx val="2"/>
            <c:invertIfNegative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220D-4D7C-8F18-EBE4AC1358DA}"/>
              </c:ext>
            </c:extLst>
          </c:dPt>
          <c:cat>
            <c:strRef>
              <c:f>Summary!$A$5:$A$7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0D-4D7C-8F18-EBE4AC135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400" b="1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Distribution by %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1ECB-4422-9115-89F030AAC4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1ECB-4422-9115-89F030AAC4F5}"/>
              </c:ext>
            </c:extLst>
          </c:dPt>
          <c:dPt>
            <c:idx val="2"/>
            <c:bubble3D val="0"/>
            <c:spPr>
              <a:solidFill>
                <a:srgbClr val="FF0000">
                  <a:alpha val="76986"/>
                </a:srgb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1ECB-4422-9115-89F030AAC4F5}"/>
              </c:ext>
            </c:extLst>
          </c:dPt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1" i="0" u="none">
                    <a:solidFill>
                      <a:schemeClr val="lt1"/>
                    </a:solidFill>
                    <a:latin typeface="+mn-lt"/>
                    <a:ea typeface="+mn-lt"/>
                    <a:cs typeface="+mn-lt"/>
                  </a:defRPr>
                </a:pPr>
                <a:endParaRPr lang="en-TZ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Summary!$A$5:$A$7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CB-4422-9115-89F030AAC4F5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legend>
      <c:legendPos val="t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n-TZ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1425864</xdr:colOff>
      <xdr:row>1</xdr:row>
      <xdr:rowOff>106217</xdr:rowOff>
    </xdr:from>
    <xdr:to>
      <xdr:col>5</xdr:col>
      <xdr:colOff>450273</xdr:colOff>
      <xdr:row>14</xdr:row>
      <xdr:rowOff>23090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686955</xdr:colOff>
      <xdr:row>2</xdr:row>
      <xdr:rowOff>2308</xdr:rowOff>
    </xdr:from>
    <xdr:to>
      <xdr:col>8</xdr:col>
      <xdr:colOff>1235364</xdr:colOff>
      <xdr:row>13</xdr:row>
      <xdr:rowOff>92364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361950</xdr:colOff>
      <xdr:row>1</xdr:row>
      <xdr:rowOff>76200</xdr:rowOff>
    </xdr:from>
    <xdr:to>
      <xdr:col>17</xdr:col>
      <xdr:colOff>622300</xdr:colOff>
      <xdr:row>25</xdr:row>
      <xdr:rowOff>152400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plementationTrackerTable" displayName="ImplementationTrackerTable" ref="B18:I166" totalsRowShown="0" dataDxfId="18">
  <tableColumns count="8">
    <tableColumn id="1" xr3:uid="{00000000-0010-0000-0000-000001000000}" name="MAIN ACTIVITY" dataDxfId="17"/>
    <tableColumn id="2" xr3:uid="{00000000-0010-0000-0000-000002000000}" name="Sub-Activity" dataDxfId="16"/>
    <tableColumn id="3" xr3:uid="{00000000-0010-0000-0000-000003000000}" name="Implementation" dataDxfId="15"/>
    <tableColumn id="4" xr3:uid="{00000000-0010-0000-0000-000004000000}" name="Status in Percentage" dataDxfId="14"/>
    <tableColumn id="5" xr3:uid="{00000000-0010-0000-0000-000005000000}" name="Start Date" dataDxfId="13"/>
    <tableColumn id="6" xr3:uid="{00000000-0010-0000-0000-000006000000}" name="End Date" dataDxfId="12"/>
    <tableColumn id="7" xr3:uid="{00000000-0010-0000-0000-000007000000}" name="Responsible Personnel" dataDxfId="11"/>
    <tableColumn id="8" xr3:uid="{00000000-0010-0000-0000-000008000000}" name="Completion" dataDxfId="10">
      <calculatedColumnFormula array="1">_xlfn.IFS(E19=1, " ✓ - Completed", E19&gt;0, " ~ In Progress", TRUE, " o - Not Started")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3:C7" totalsRowShown="0" headerRowBorderDxfId="9">
  <autoFilter ref="B3:C7" xr:uid="{00000000-0009-0000-0100-000002000000}"/>
  <tableColumns count="2">
    <tableColumn id="1" xr3:uid="{00000000-0010-0000-0100-000001000000}" name="Metric" dataDxfId="8"/>
    <tableColumn id="2" xr3:uid="{00000000-0010-0000-0100-000002000000}" name="Value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66"/>
  <sheetViews>
    <sheetView tabSelected="1" topLeftCell="B42" workbookViewId="0">
      <selection activeCell="C49" sqref="C49"/>
    </sheetView>
  </sheetViews>
  <sheetFormatPr defaultColWidth="8.83203125" defaultRowHeight="14"/>
  <cols>
    <col min="2" max="2" width="25.83203125" customWidth="1"/>
    <col min="3" max="3" width="30.1640625" customWidth="1"/>
    <col min="4" max="4" width="55" customWidth="1"/>
    <col min="5" max="5" width="18" customWidth="1"/>
    <col min="6" max="7" width="13" customWidth="1"/>
    <col min="8" max="8" width="24" customWidth="1"/>
    <col min="9" max="9" width="17.1640625" customWidth="1"/>
  </cols>
  <sheetData>
    <row r="3" spans="2:3" ht="18">
      <c r="B3" s="18" t="s">
        <v>0</v>
      </c>
      <c r="C3" s="19" t="s">
        <v>1</v>
      </c>
    </row>
    <row r="4" spans="2:3" ht="18">
      <c r="B4" s="16" t="s">
        <v>2</v>
      </c>
      <c r="C4" s="17">
        <f>COUNTA($C$19:$C$87)</f>
        <v>69</v>
      </c>
    </row>
    <row r="5" spans="2:3" ht="18">
      <c r="B5" s="16" t="s">
        <v>3</v>
      </c>
      <c r="C5" s="17">
        <f>COUNTIF($E$19:$E$87,1)</f>
        <v>0</v>
      </c>
    </row>
    <row r="6" spans="2:3" ht="18">
      <c r="B6" s="16" t="s">
        <v>4</v>
      </c>
      <c r="C6" s="17">
        <f>COUNTIFS($E$19:$E$87,"&gt;0",$E$19:$E$87,"&lt;1")</f>
        <v>0</v>
      </c>
    </row>
    <row r="7" spans="2:3" ht="18">
      <c r="B7" s="20" t="s">
        <v>5</v>
      </c>
      <c r="C7" s="21">
        <f>COUNTIF($E$19:$E$87,0)</f>
        <v>69</v>
      </c>
    </row>
    <row r="8" spans="2:3" ht="18">
      <c r="B8" s="10"/>
      <c r="C8" s="11"/>
    </row>
    <row r="9" spans="2:3" ht="28">
      <c r="B9" s="14" t="s">
        <v>6</v>
      </c>
      <c r="C9" s="15" t="s">
        <v>7</v>
      </c>
    </row>
    <row r="10" spans="2:3" ht="42">
      <c r="B10" s="12" t="s">
        <v>8</v>
      </c>
      <c r="C10" s="13" t="s">
        <v>9</v>
      </c>
    </row>
    <row r="18" spans="2:12" ht="28">
      <c r="B18" s="1" t="s">
        <v>10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8" t="s">
        <v>17</v>
      </c>
    </row>
    <row r="19" spans="2:12" ht="25.5">
      <c r="B19" s="5" t="s">
        <v>18</v>
      </c>
      <c r="C19" s="5" t="s">
        <v>19</v>
      </c>
      <c r="D19" s="5" t="s">
        <v>20</v>
      </c>
      <c r="E19" s="6">
        <v>0</v>
      </c>
      <c r="F19" s="7"/>
      <c r="G19" s="7"/>
      <c r="H19" s="5" t="s">
        <v>21</v>
      </c>
      <c r="I19" s="9" t="str" cm="1">
        <f t="array" ref="I19">IF(E19=1," ✓ - Completed",IF(E19&gt;0," ~ In Progress"," o - Not Started"))</f>
        <v xml:space="preserve"> o - Not Started</v>
      </c>
    </row>
    <row r="20" spans="2:12" ht="25.5">
      <c r="B20" s="5"/>
      <c r="C20" s="5" t="s">
        <v>22</v>
      </c>
      <c r="D20" s="5" t="s">
        <v>23</v>
      </c>
      <c r="E20" s="6">
        <v>0</v>
      </c>
      <c r="F20" s="7"/>
      <c r="G20" s="7"/>
      <c r="H20" s="5" t="s">
        <v>21</v>
      </c>
      <c r="I20" s="9" t="str" cm="1">
        <f t="array" ref="I20">IF(E20=1," ✓ - Completed",IF(E20&gt;0," ~ In Progress"," o - Not Started"))</f>
        <v xml:space="preserve"> o - Not Started</v>
      </c>
      <c r="L20">
        <f>COUNTA(C19:C24)</f>
        <v>6</v>
      </c>
    </row>
    <row r="21" spans="2:12" ht="25.5">
      <c r="B21" s="5"/>
      <c r="C21" s="5" t="s">
        <v>24</v>
      </c>
      <c r="D21" s="5" t="s">
        <v>25</v>
      </c>
      <c r="E21" s="6">
        <v>0</v>
      </c>
      <c r="F21" s="7"/>
      <c r="G21" s="7"/>
      <c r="H21" s="5" t="s">
        <v>21</v>
      </c>
      <c r="I21" s="9" t="str" cm="1">
        <f t="array" ref="I21">IF(E21=1," ✓ - Completed",IF(E21&gt;0," ~ In Progress"," o - Not Started"))</f>
        <v xml:space="preserve"> o - Not Started</v>
      </c>
    </row>
    <row r="22" spans="2:12">
      <c r="B22" s="5"/>
      <c r="C22" s="5" t="s">
        <v>26</v>
      </c>
      <c r="D22" s="5" t="s">
        <v>27</v>
      </c>
      <c r="E22" s="6">
        <v>0</v>
      </c>
      <c r="F22" s="7"/>
      <c r="G22" s="7"/>
      <c r="H22" s="5" t="s">
        <v>28</v>
      </c>
      <c r="I22" s="9" t="str" cm="1">
        <f t="array" ref="I22">IF(E22=1," ✓ - Completed",IF(E22&gt;0," ~ In Progress"," o - Not Started"))</f>
        <v xml:space="preserve"> o - Not Started</v>
      </c>
    </row>
    <row r="23" spans="2:12" ht="25.5">
      <c r="B23" s="5" t="s">
        <v>29</v>
      </c>
      <c r="C23" s="5" t="s">
        <v>30</v>
      </c>
      <c r="D23" s="5" t="s">
        <v>31</v>
      </c>
      <c r="E23" s="6">
        <v>0</v>
      </c>
      <c r="F23" s="7"/>
      <c r="G23" s="7"/>
      <c r="H23" s="5" t="s">
        <v>32</v>
      </c>
      <c r="I23" s="9" t="str" cm="1">
        <f t="array" ref="I23">IF(E23=1," ✓ - Completed",IF(E23&gt;0," ~ In Progress"," o - Not Started"))</f>
        <v xml:space="preserve"> o - Not Started</v>
      </c>
    </row>
    <row r="24" spans="2:12">
      <c r="B24" s="5"/>
      <c r="C24" s="5" t="s">
        <v>33</v>
      </c>
      <c r="D24" s="5" t="s">
        <v>34</v>
      </c>
      <c r="E24" s="6">
        <v>0</v>
      </c>
      <c r="F24" s="7"/>
      <c r="G24" s="7"/>
      <c r="H24" s="5" t="s">
        <v>35</v>
      </c>
      <c r="I24" s="9" t="str" cm="1">
        <f t="array" ref="I24">IF(E24=1," ✓ - Completed",IF(E24&gt;0," ~ In Progress"," o - Not Started"))</f>
        <v xml:space="preserve"> o - Not Started</v>
      </c>
    </row>
    <row r="25" spans="2:12" ht="25.5">
      <c r="B25" s="5"/>
      <c r="C25" s="5" t="s">
        <v>36</v>
      </c>
      <c r="D25" s="5" t="s">
        <v>37</v>
      </c>
      <c r="E25" s="6">
        <v>0</v>
      </c>
      <c r="F25" s="7"/>
      <c r="G25" s="7"/>
      <c r="H25" s="5" t="s">
        <v>38</v>
      </c>
      <c r="I25" s="9" t="str" cm="1">
        <f t="array" ref="I25">IF(E25=1," ✓ - Completed",IF(E25&gt;0," ~ In Progress"," o - Not Started"))</f>
        <v xml:space="preserve"> o - Not Started</v>
      </c>
    </row>
    <row r="26" spans="2:12">
      <c r="B26" s="5"/>
      <c r="C26" s="5" t="s">
        <v>39</v>
      </c>
      <c r="D26" s="5" t="s">
        <v>40</v>
      </c>
      <c r="E26" s="6">
        <v>0</v>
      </c>
      <c r="F26" s="7"/>
      <c r="G26" s="7"/>
      <c r="H26" s="5" t="s">
        <v>35</v>
      </c>
      <c r="I26" s="9" t="str" cm="1">
        <f t="array" ref="I26">IF(E26=1," ✓ - Completed",IF(E26&gt;0," ~ In Progress"," o - Not Started"))</f>
        <v xml:space="preserve"> o - Not Started</v>
      </c>
    </row>
    <row r="27" spans="2:12" ht="25.5">
      <c r="B27" s="5" t="s">
        <v>41</v>
      </c>
      <c r="C27" s="5" t="s">
        <v>42</v>
      </c>
      <c r="D27" s="5" t="s">
        <v>43</v>
      </c>
      <c r="E27" s="6">
        <v>0</v>
      </c>
      <c r="F27" s="7"/>
      <c r="G27" s="7"/>
      <c r="H27" s="5" t="s">
        <v>44</v>
      </c>
      <c r="I27" s="9" t="str" cm="1">
        <f t="array" ref="I27">IF(E27=1," ✓ - Completed",IF(E27&gt;0," ~ In Progress"," o - Not Started"))</f>
        <v xml:space="preserve"> o - Not Started</v>
      </c>
    </row>
    <row r="28" spans="2:12">
      <c r="B28" s="5"/>
      <c r="C28" s="5" t="s">
        <v>45</v>
      </c>
      <c r="D28" s="5" t="s">
        <v>46</v>
      </c>
      <c r="E28" s="6">
        <v>0</v>
      </c>
      <c r="F28" s="7"/>
      <c r="G28" s="7"/>
      <c r="H28" s="5" t="s">
        <v>35</v>
      </c>
      <c r="I28" s="9" t="str" cm="1">
        <f t="array" ref="I28">IF(E28=1," ✓ - Completed",IF(E28&gt;0," ~ In Progress"," o - Not Started"))</f>
        <v xml:space="preserve"> o - Not Started</v>
      </c>
    </row>
    <row r="29" spans="2:12">
      <c r="B29" s="5"/>
      <c r="C29" s="5" t="s">
        <v>47</v>
      </c>
      <c r="D29" s="5" t="s">
        <v>48</v>
      </c>
      <c r="E29" s="6">
        <v>0</v>
      </c>
      <c r="F29" s="7"/>
      <c r="G29" s="7"/>
      <c r="H29" s="5" t="s">
        <v>35</v>
      </c>
      <c r="I29" s="9" t="str" cm="1">
        <f t="array" ref="I29">IF(E29=1," ✓ - Completed",IF(E29&gt;0," ~ In Progress"," o - Not Started"))</f>
        <v xml:space="preserve"> o - Not Started</v>
      </c>
    </row>
    <row r="30" spans="2:12">
      <c r="B30" s="5"/>
      <c r="C30" s="5" t="s">
        <v>49</v>
      </c>
      <c r="D30" s="5" t="s">
        <v>50</v>
      </c>
      <c r="E30" s="6">
        <v>0</v>
      </c>
      <c r="F30" s="7"/>
      <c r="G30" s="7"/>
      <c r="H30" s="5" t="s">
        <v>35</v>
      </c>
      <c r="I30" s="9" t="str" cm="1">
        <f t="array" ref="I30">IF(E30=1," ✓ - Completed",IF(E30&gt;0," ~ In Progress"," o - Not Started"))</f>
        <v xml:space="preserve"> o - Not Started</v>
      </c>
    </row>
    <row r="31" spans="2:12">
      <c r="B31" s="5"/>
      <c r="C31" s="5" t="s">
        <v>51</v>
      </c>
      <c r="D31" s="5" t="s">
        <v>52</v>
      </c>
      <c r="E31" s="6">
        <v>0</v>
      </c>
      <c r="F31" s="7"/>
      <c r="G31" s="7"/>
      <c r="H31" s="5" t="s">
        <v>35</v>
      </c>
      <c r="I31" s="9" t="str" cm="1">
        <f t="array" ref="I31">IF(E31=1," ✓ - Completed",IF(E31&gt;0," ~ In Progress"," o - Not Started"))</f>
        <v xml:space="preserve"> o - Not Started</v>
      </c>
    </row>
    <row r="32" spans="2:12">
      <c r="B32" s="5"/>
      <c r="C32" s="5" t="s">
        <v>53</v>
      </c>
      <c r="D32" s="5" t="s">
        <v>54</v>
      </c>
      <c r="E32" s="6">
        <v>0</v>
      </c>
      <c r="F32" s="7"/>
      <c r="G32" s="7"/>
      <c r="H32" s="5" t="s">
        <v>35</v>
      </c>
      <c r="I32" s="9" t="str" cm="1">
        <f t="array" ref="I32">IF(E32=1," ✓ - Completed",IF(E32&gt;0," ~ In Progress"," o - Not Started"))</f>
        <v xml:space="preserve"> o - Not Started</v>
      </c>
    </row>
    <row r="33" spans="2:9">
      <c r="B33" s="5"/>
      <c r="C33" s="5" t="s">
        <v>55</v>
      </c>
      <c r="D33" s="5" t="s">
        <v>56</v>
      </c>
      <c r="E33" s="6">
        <v>0</v>
      </c>
      <c r="F33" s="7"/>
      <c r="G33" s="7"/>
      <c r="H33" s="5" t="s">
        <v>35</v>
      </c>
      <c r="I33" s="9" t="str" cm="1">
        <f t="array" ref="I33">IF(E33=1," ✓ - Completed",IF(E33&gt;0," ~ In Progress"," o - Not Started"))</f>
        <v xml:space="preserve"> o - Not Started</v>
      </c>
    </row>
    <row r="34" spans="2:9" ht="25.5">
      <c r="B34" s="5"/>
      <c r="C34" s="5" t="s">
        <v>57</v>
      </c>
      <c r="D34" s="5" t="s">
        <v>58</v>
      </c>
      <c r="E34" s="6">
        <v>0</v>
      </c>
      <c r="F34" s="7"/>
      <c r="G34" s="7"/>
      <c r="H34" s="5" t="s">
        <v>32</v>
      </c>
      <c r="I34" s="9" t="str" cm="1">
        <f t="array" ref="I34">IF(E34=1," ✓ - Completed",IF(E34&gt;0," ~ In Progress"," o - Not Started"))</f>
        <v xml:space="preserve"> o - Not Started</v>
      </c>
    </row>
    <row r="35" spans="2:9" ht="25.5">
      <c r="B35" s="5" t="s">
        <v>59</v>
      </c>
      <c r="C35" s="5" t="s">
        <v>60</v>
      </c>
      <c r="D35" s="5" t="s">
        <v>61</v>
      </c>
      <c r="E35" s="6">
        <v>0</v>
      </c>
      <c r="F35" s="7"/>
      <c r="G35" s="7"/>
      <c r="H35" s="5" t="s">
        <v>62</v>
      </c>
      <c r="I35" s="9" t="str" cm="1">
        <f t="array" ref="I35">IF(E35=1," ✓ - Completed",IF(E35&gt;0," ~ In Progress"," o - Not Started"))</f>
        <v xml:space="preserve"> o - Not Started</v>
      </c>
    </row>
    <row r="36" spans="2:9">
      <c r="B36" s="5"/>
      <c r="C36" s="5" t="s">
        <v>63</v>
      </c>
      <c r="D36" s="5" t="s">
        <v>64</v>
      </c>
      <c r="E36" s="6">
        <v>0</v>
      </c>
      <c r="F36" s="7"/>
      <c r="G36" s="7"/>
      <c r="H36" s="5" t="s">
        <v>65</v>
      </c>
      <c r="I36" s="9" t="str" cm="1">
        <f t="array" ref="I36">IF(E36=1," ✓ - Completed",IF(E36&gt;0," ~ In Progress"," o - Not Started"))</f>
        <v xml:space="preserve"> o - Not Started</v>
      </c>
    </row>
    <row r="37" spans="2:9">
      <c r="B37" s="5"/>
      <c r="C37" s="5" t="s">
        <v>66</v>
      </c>
      <c r="D37" s="5" t="s">
        <v>67</v>
      </c>
      <c r="E37" s="6">
        <v>0</v>
      </c>
      <c r="F37" s="7"/>
      <c r="G37" s="7"/>
      <c r="H37" s="5" t="s">
        <v>65</v>
      </c>
      <c r="I37" s="9" t="str" cm="1">
        <f t="array" ref="I37">IF(E37=1," ✓ - Completed",IF(E37&gt;0," ~ In Progress"," o - Not Started"))</f>
        <v xml:space="preserve"> o - Not Started</v>
      </c>
    </row>
    <row r="38" spans="2:9">
      <c r="B38" s="5"/>
      <c r="C38" s="5" t="s">
        <v>68</v>
      </c>
      <c r="D38" s="5" t="s">
        <v>69</v>
      </c>
      <c r="E38" s="6">
        <v>0</v>
      </c>
      <c r="F38" s="7"/>
      <c r="G38" s="7"/>
      <c r="H38" s="5" t="s">
        <v>65</v>
      </c>
      <c r="I38" s="9" t="str" cm="1">
        <f t="array" ref="I38">IF(E38=1," ✓ - Completed",IF(E38&gt;0," ~ In Progress"," o - Not Started"))</f>
        <v xml:space="preserve"> o - Not Started</v>
      </c>
    </row>
    <row r="39" spans="2:9" ht="25.5">
      <c r="B39" s="5"/>
      <c r="C39" s="5" t="s">
        <v>70</v>
      </c>
      <c r="D39" s="5" t="s">
        <v>71</v>
      </c>
      <c r="E39" s="6">
        <v>0</v>
      </c>
      <c r="F39" s="7"/>
      <c r="G39" s="7"/>
      <c r="H39" s="5" t="s">
        <v>28</v>
      </c>
      <c r="I39" s="9" t="str" cm="1">
        <f t="array" ref="I39">IF(E39=1," ✓ - Completed",IF(E39&gt;0," ~ In Progress"," o - Not Started"))</f>
        <v xml:space="preserve"> o - Not Started</v>
      </c>
    </row>
    <row r="40" spans="2:9" ht="25.5">
      <c r="B40" s="5"/>
      <c r="C40" s="5" t="s">
        <v>72</v>
      </c>
      <c r="D40" s="5" t="s">
        <v>73</v>
      </c>
      <c r="E40" s="6">
        <v>0</v>
      </c>
      <c r="F40" s="7"/>
      <c r="G40" s="7"/>
      <c r="H40" s="5" t="s">
        <v>28</v>
      </c>
      <c r="I40" s="9" t="str" cm="1">
        <f t="array" ref="I40">IF(E40=1," ✓ - Completed",IF(E40&gt;0," ~ In Progress"," o - Not Started"))</f>
        <v xml:space="preserve"> o - Not Started</v>
      </c>
    </row>
    <row r="41" spans="2:9" ht="25.5">
      <c r="B41" s="5" t="s">
        <v>74</v>
      </c>
      <c r="C41" s="5" t="s">
        <v>75</v>
      </c>
      <c r="D41" s="5" t="s">
        <v>76</v>
      </c>
      <c r="E41" s="6">
        <v>0</v>
      </c>
      <c r="F41" s="7"/>
      <c r="G41" s="7"/>
      <c r="H41" s="5" t="s">
        <v>44</v>
      </c>
      <c r="I41" s="9" t="str" cm="1">
        <f t="array" ref="I41">IF(E41=1," ✓ - Completed",IF(E41&gt;0," ~ In Progress"," o - Not Started"))</f>
        <v xml:space="preserve"> o - Not Started</v>
      </c>
    </row>
    <row r="42" spans="2:9">
      <c r="B42" s="5"/>
      <c r="C42" s="5" t="s">
        <v>77</v>
      </c>
      <c r="D42" s="5" t="s">
        <v>78</v>
      </c>
      <c r="E42" s="6">
        <v>0</v>
      </c>
      <c r="F42" s="7"/>
      <c r="G42" s="7"/>
      <c r="H42" s="5" t="s">
        <v>35</v>
      </c>
      <c r="I42" s="9" t="str" cm="1">
        <f t="array" ref="I42">IF(E42=1," ✓ - Completed",IF(E42&gt;0," ~ In Progress"," o - Not Started"))</f>
        <v xml:space="preserve"> o - Not Started</v>
      </c>
    </row>
    <row r="43" spans="2:9">
      <c r="B43" s="5"/>
      <c r="C43" s="5" t="s">
        <v>79</v>
      </c>
      <c r="D43" s="5" t="s">
        <v>80</v>
      </c>
      <c r="E43" s="6">
        <v>0</v>
      </c>
      <c r="F43" s="7"/>
      <c r="G43" s="7"/>
      <c r="H43" s="5" t="s">
        <v>35</v>
      </c>
      <c r="I43" s="9" t="str" cm="1">
        <f t="array" ref="I43">IF(E43=1," ✓ - Completed",IF(E43&gt;0," ~ In Progress"," o - Not Started"))</f>
        <v xml:space="preserve"> o - Not Started</v>
      </c>
    </row>
    <row r="44" spans="2:9">
      <c r="B44" s="5"/>
      <c r="C44" s="5" t="s">
        <v>81</v>
      </c>
      <c r="D44" s="5" t="s">
        <v>82</v>
      </c>
      <c r="E44" s="6">
        <v>0</v>
      </c>
      <c r="F44" s="7"/>
      <c r="G44" s="7"/>
      <c r="H44" s="5" t="s">
        <v>35</v>
      </c>
      <c r="I44" s="9" t="str" cm="1">
        <f t="array" ref="I44">IF(E44=1," ✓ - Completed",IF(E44&gt;0," ~ In Progress"," o - Not Started"))</f>
        <v xml:space="preserve"> o - Not Started</v>
      </c>
    </row>
    <row r="45" spans="2:9">
      <c r="B45" s="5"/>
      <c r="C45" s="5" t="s">
        <v>83</v>
      </c>
      <c r="D45" s="5" t="s">
        <v>84</v>
      </c>
      <c r="E45" s="6">
        <v>0</v>
      </c>
      <c r="F45" s="7"/>
      <c r="G45" s="7"/>
      <c r="H45" s="5" t="s">
        <v>35</v>
      </c>
      <c r="I45" s="9" t="str" cm="1">
        <f t="array" ref="I45">IF(E45=1," ✓ - Completed",IF(E45&gt;0," ~ In Progress"," o - Not Started"))</f>
        <v xml:space="preserve"> o - Not Started</v>
      </c>
    </row>
    <row r="46" spans="2:9" ht="25.5">
      <c r="B46" s="5"/>
      <c r="C46" s="5" t="s">
        <v>85</v>
      </c>
      <c r="D46" s="5" t="s">
        <v>86</v>
      </c>
      <c r="E46" s="6">
        <v>0</v>
      </c>
      <c r="F46" s="7"/>
      <c r="G46" s="7"/>
      <c r="H46" s="5" t="s">
        <v>32</v>
      </c>
      <c r="I46" s="9" t="str" cm="1">
        <f t="array" ref="I46">IF(E46=1," ✓ - Completed",IF(E46&gt;0," ~ In Progress"," o - Not Started"))</f>
        <v xml:space="preserve"> o - Not Started</v>
      </c>
    </row>
    <row r="47" spans="2:9">
      <c r="B47" s="5"/>
      <c r="C47" s="5" t="s">
        <v>87</v>
      </c>
      <c r="D47" s="5" t="s">
        <v>88</v>
      </c>
      <c r="E47" s="6">
        <v>0</v>
      </c>
      <c r="F47" s="7"/>
      <c r="G47" s="7"/>
      <c r="H47" s="5" t="s">
        <v>35</v>
      </c>
      <c r="I47" s="9" t="str" cm="1">
        <f t="array" ref="I47">IF(E47=1," ✓ - Completed",IF(E47&gt;0," ~ In Progress"," o - Not Started"))</f>
        <v xml:space="preserve"> o - Not Started</v>
      </c>
    </row>
    <row r="48" spans="2:9">
      <c r="B48" s="5"/>
      <c r="C48" s="5" t="s">
        <v>89</v>
      </c>
      <c r="D48" s="5" t="s">
        <v>90</v>
      </c>
      <c r="E48" s="6">
        <v>0</v>
      </c>
      <c r="F48" s="7"/>
      <c r="G48" s="7"/>
      <c r="H48" s="5" t="s">
        <v>35</v>
      </c>
      <c r="I48" s="9" t="str" cm="1">
        <f t="array" ref="I48">IF(E48=1," ✓ - Completed",IF(E48&gt;0," ~ In Progress"," o - Not Started"))</f>
        <v xml:space="preserve"> o - Not Started</v>
      </c>
    </row>
    <row r="49" spans="2:9">
      <c r="B49" s="5"/>
      <c r="C49" s="23" t="s">
        <v>195</v>
      </c>
      <c r="D49" s="5" t="s">
        <v>91</v>
      </c>
      <c r="E49" s="6">
        <v>0</v>
      </c>
      <c r="F49" s="7"/>
      <c r="G49" s="7"/>
      <c r="H49" s="5" t="s">
        <v>92</v>
      </c>
      <c r="I49" s="9" t="str" cm="1">
        <f t="array" ref="I49">IF(E49=1," ✓ - Completed",IF(E49&gt;0," ~ In Progress"," o - Not Started"))</f>
        <v xml:space="preserve"> o - Not Started</v>
      </c>
    </row>
    <row r="50" spans="2:9">
      <c r="B50" s="5" t="s">
        <v>93</v>
      </c>
      <c r="C50" s="5" t="s">
        <v>94</v>
      </c>
      <c r="D50" s="5" t="s">
        <v>95</v>
      </c>
      <c r="E50" s="6">
        <v>0</v>
      </c>
      <c r="F50" s="7"/>
      <c r="G50" s="7"/>
      <c r="H50" s="5" t="s">
        <v>44</v>
      </c>
      <c r="I50" s="9" t="str" cm="1">
        <f t="array" ref="I50">IF(E50=1," ✓ - Completed",IF(E50&gt;0," ~ In Progress"," o - Not Started"))</f>
        <v xml:space="preserve"> o - Not Started</v>
      </c>
    </row>
    <row r="51" spans="2:9">
      <c r="B51" s="5"/>
      <c r="C51" s="5" t="s">
        <v>96</v>
      </c>
      <c r="D51" s="5" t="s">
        <v>97</v>
      </c>
      <c r="E51" s="6">
        <v>0</v>
      </c>
      <c r="F51" s="7"/>
      <c r="G51" s="7"/>
      <c r="H51" s="5" t="s">
        <v>44</v>
      </c>
      <c r="I51" s="9" t="str" cm="1">
        <f t="array" ref="I51">IF(E51=1," ✓ - Completed",IF(E51&gt;0," ~ In Progress"," o - Not Started"))</f>
        <v xml:space="preserve"> o - Not Started</v>
      </c>
    </row>
    <row r="52" spans="2:9">
      <c r="B52" s="5"/>
      <c r="C52" s="5" t="s">
        <v>98</v>
      </c>
      <c r="D52" s="5" t="s">
        <v>99</v>
      </c>
      <c r="E52" s="6">
        <v>0</v>
      </c>
      <c r="F52" s="7"/>
      <c r="G52" s="7"/>
      <c r="H52" s="5" t="s">
        <v>44</v>
      </c>
      <c r="I52" s="9" t="str" cm="1">
        <f t="array" ref="I52">IF(E52=1," ✓ - Completed",IF(E52&gt;0," ~ In Progress"," o - Not Started"))</f>
        <v xml:space="preserve"> o - Not Started</v>
      </c>
    </row>
    <row r="53" spans="2:9" ht="25.5">
      <c r="B53" s="5"/>
      <c r="C53" s="5" t="s">
        <v>100</v>
      </c>
      <c r="D53" s="5" t="s">
        <v>101</v>
      </c>
      <c r="E53" s="6">
        <v>0</v>
      </c>
      <c r="F53" s="7"/>
      <c r="G53" s="7"/>
      <c r="H53" s="5" t="s">
        <v>44</v>
      </c>
      <c r="I53" s="9" t="str" cm="1">
        <f t="array" ref="I53">IF(E53=1," ✓ - Completed",IF(E53&gt;0," ~ In Progress"," o - Not Started"))</f>
        <v xml:space="preserve"> o - Not Started</v>
      </c>
    </row>
    <row r="54" spans="2:9">
      <c r="B54" s="5"/>
      <c r="C54" s="5" t="s">
        <v>102</v>
      </c>
      <c r="D54" s="5" t="s">
        <v>103</v>
      </c>
      <c r="E54" s="6">
        <v>0</v>
      </c>
      <c r="F54" s="7"/>
      <c r="G54" s="7"/>
      <c r="H54" s="5" t="s">
        <v>104</v>
      </c>
      <c r="I54" s="9" t="str" cm="1">
        <f t="array" ref="I54">IF(E54=1," ✓ - Completed",IF(E54&gt;0," ~ In Progress"," o - Not Started"))</f>
        <v xml:space="preserve"> o - Not Started</v>
      </c>
    </row>
    <row r="55" spans="2:9">
      <c r="B55" s="5"/>
      <c r="C55" s="5" t="s">
        <v>105</v>
      </c>
      <c r="D55" s="5" t="s">
        <v>106</v>
      </c>
      <c r="E55" s="6">
        <v>0</v>
      </c>
      <c r="F55" s="7"/>
      <c r="G55" s="7"/>
      <c r="H55" s="5" t="s">
        <v>107</v>
      </c>
      <c r="I55" s="9" t="str" cm="1">
        <f t="array" ref="I55">IF(E55=1," ✓ - Completed",IF(E55&gt;0," ~ In Progress"," o - Not Started"))</f>
        <v xml:space="preserve"> o - Not Started</v>
      </c>
    </row>
    <row r="56" spans="2:9">
      <c r="B56" s="5"/>
      <c r="C56" s="5" t="s">
        <v>108</v>
      </c>
      <c r="D56" s="5" t="s">
        <v>109</v>
      </c>
      <c r="E56" s="6">
        <v>0</v>
      </c>
      <c r="F56" s="7"/>
      <c r="G56" s="7"/>
      <c r="H56" s="5" t="s">
        <v>107</v>
      </c>
      <c r="I56" s="9" t="str" cm="1">
        <f t="array" ref="I56">IF(E56=1," ✓ - Completed",IF(E56&gt;0," ~ In Progress"," o - Not Started"))</f>
        <v xml:space="preserve"> o - Not Started</v>
      </c>
    </row>
    <row r="57" spans="2:9" ht="25.5">
      <c r="B57" s="5"/>
      <c r="C57" s="5" t="s">
        <v>110</v>
      </c>
      <c r="D57" s="5" t="s">
        <v>111</v>
      </c>
      <c r="E57" s="6">
        <v>0</v>
      </c>
      <c r="F57" s="7"/>
      <c r="G57" s="7"/>
      <c r="H57" s="5" t="s">
        <v>44</v>
      </c>
      <c r="I57" s="9" t="str" cm="1">
        <f t="array" ref="I57">IF(E57=1," ✓ - Completed",IF(E57&gt;0," ~ In Progress"," o - Not Started"))</f>
        <v xml:space="preserve"> o - Not Started</v>
      </c>
    </row>
    <row r="58" spans="2:9">
      <c r="B58" s="5" t="s">
        <v>112</v>
      </c>
      <c r="C58" s="5" t="s">
        <v>113</v>
      </c>
      <c r="D58" s="5" t="s">
        <v>114</v>
      </c>
      <c r="E58" s="6">
        <v>0</v>
      </c>
      <c r="F58" s="7"/>
      <c r="G58" s="7"/>
      <c r="H58" s="5" t="s">
        <v>115</v>
      </c>
      <c r="I58" s="9" t="str" cm="1">
        <f t="array" ref="I58">IF(E58=1," ✓ - Completed",IF(E58&gt;0," ~ In Progress"," o - Not Started"))</f>
        <v xml:space="preserve"> o - Not Started</v>
      </c>
    </row>
    <row r="59" spans="2:9" ht="25.5">
      <c r="B59" s="5"/>
      <c r="C59" s="5" t="s">
        <v>116</v>
      </c>
      <c r="D59" s="5" t="s">
        <v>117</v>
      </c>
      <c r="E59" s="6">
        <v>0</v>
      </c>
      <c r="F59" s="7"/>
      <c r="G59" s="7"/>
      <c r="H59" s="5" t="s">
        <v>118</v>
      </c>
      <c r="I59" s="9" t="str" cm="1">
        <f t="array" ref="I59">IF(E59=1," ✓ - Completed",IF(E59&gt;0," ~ In Progress"," o - Not Started"))</f>
        <v xml:space="preserve"> o - Not Started</v>
      </c>
    </row>
    <row r="60" spans="2:9">
      <c r="B60" s="5"/>
      <c r="C60" s="5" t="s">
        <v>119</v>
      </c>
      <c r="D60" s="5" t="s">
        <v>120</v>
      </c>
      <c r="E60" s="6">
        <v>0</v>
      </c>
      <c r="F60" s="7"/>
      <c r="G60" s="7"/>
      <c r="H60" s="5" t="s">
        <v>115</v>
      </c>
      <c r="I60" s="9" t="str" cm="1">
        <f t="array" ref="I60">IF(E60=1," ✓ - Completed",IF(E60&gt;0," ~ In Progress"," o - Not Started"))</f>
        <v xml:space="preserve"> o - Not Started</v>
      </c>
    </row>
    <row r="61" spans="2:9">
      <c r="B61" s="5"/>
      <c r="C61" s="5" t="s">
        <v>121</v>
      </c>
      <c r="D61" s="5" t="s">
        <v>122</v>
      </c>
      <c r="E61" s="6">
        <v>0</v>
      </c>
      <c r="F61" s="7"/>
      <c r="G61" s="7"/>
      <c r="H61" s="5" t="s">
        <v>115</v>
      </c>
      <c r="I61" s="9" t="str" cm="1">
        <f t="array" ref="I61">IF(E61=1," ✓ - Completed",IF(E61&gt;0," ~ In Progress"," o - Not Started"))</f>
        <v xml:space="preserve"> o - Not Started</v>
      </c>
    </row>
    <row r="62" spans="2:9">
      <c r="B62" s="5"/>
      <c r="C62" s="5" t="s">
        <v>123</v>
      </c>
      <c r="D62" s="5" t="s">
        <v>124</v>
      </c>
      <c r="E62" s="6">
        <v>0</v>
      </c>
      <c r="F62" s="7"/>
      <c r="G62" s="7"/>
      <c r="H62" s="5" t="s">
        <v>125</v>
      </c>
      <c r="I62" s="9" t="str" cm="1">
        <f t="array" ref="I62">IF(E62=1," ✓ - Completed",IF(E62&gt;0," ~ In Progress"," o - Not Started"))</f>
        <v xml:space="preserve"> o - Not Started</v>
      </c>
    </row>
    <row r="63" spans="2:9">
      <c r="B63" s="5"/>
      <c r="C63" s="5" t="s">
        <v>126</v>
      </c>
      <c r="D63" s="5" t="s">
        <v>127</v>
      </c>
      <c r="E63" s="6">
        <v>0</v>
      </c>
      <c r="F63" s="7"/>
      <c r="G63" s="7"/>
      <c r="H63" s="5" t="s">
        <v>118</v>
      </c>
      <c r="I63" s="9" t="str" cm="1">
        <f t="array" ref="I63">IF(E63=1," ✓ - Completed",IF(E63&gt;0," ~ In Progress"," o - Not Started"))</f>
        <v xml:space="preserve"> o - Not Started</v>
      </c>
    </row>
    <row r="64" spans="2:9" ht="25.5">
      <c r="B64" s="5"/>
      <c r="C64" s="5" t="s">
        <v>128</v>
      </c>
      <c r="D64" s="5" t="s">
        <v>129</v>
      </c>
      <c r="E64" s="6">
        <v>0</v>
      </c>
      <c r="F64" s="7"/>
      <c r="G64" s="7"/>
      <c r="H64" s="5" t="s">
        <v>130</v>
      </c>
      <c r="I64" s="9" t="str" cm="1">
        <f t="array" ref="I64">IF(E64=1," ✓ - Completed",IF(E64&gt;0," ~ In Progress"," o - Not Started"))</f>
        <v xml:space="preserve"> o - Not Started</v>
      </c>
    </row>
    <row r="65" spans="2:9" ht="25.5">
      <c r="B65" s="5"/>
      <c r="C65" s="5" t="s">
        <v>131</v>
      </c>
      <c r="D65" s="5" t="s">
        <v>132</v>
      </c>
      <c r="E65" s="6">
        <v>0</v>
      </c>
      <c r="F65" s="7"/>
      <c r="G65" s="7"/>
      <c r="H65" s="5" t="s">
        <v>133</v>
      </c>
      <c r="I65" s="9" t="str" cm="1">
        <f t="array" ref="I65">IF(E65=1," ✓ - Completed",IF(E65&gt;0," ~ In Progress"," o - Not Started"))</f>
        <v xml:space="preserve"> o - Not Started</v>
      </c>
    </row>
    <row r="66" spans="2:9" ht="25.5">
      <c r="B66" s="5" t="s">
        <v>134</v>
      </c>
      <c r="C66" s="5" t="s">
        <v>135</v>
      </c>
      <c r="D66" s="5" t="s">
        <v>136</v>
      </c>
      <c r="E66" s="6">
        <v>0</v>
      </c>
      <c r="F66" s="7"/>
      <c r="G66" s="7"/>
      <c r="H66" s="5" t="s">
        <v>104</v>
      </c>
      <c r="I66" s="9" t="str" cm="1">
        <f t="array" ref="I66">IF(E66=1," ✓ - Completed",IF(E66&gt;0," ~ In Progress"," o - Not Started"))</f>
        <v xml:space="preserve"> o - Not Started</v>
      </c>
    </row>
    <row r="67" spans="2:9">
      <c r="B67" s="5"/>
      <c r="C67" s="5" t="s">
        <v>137</v>
      </c>
      <c r="D67" s="5" t="s">
        <v>138</v>
      </c>
      <c r="E67" s="6">
        <v>0</v>
      </c>
      <c r="F67" s="7"/>
      <c r="G67" s="7"/>
      <c r="H67" s="5" t="s">
        <v>118</v>
      </c>
      <c r="I67" s="9" t="str" cm="1">
        <f t="array" ref="I67">IF(E67=1," ✓ - Completed",IF(E67&gt;0," ~ In Progress"," o - Not Started"))</f>
        <v xml:space="preserve"> o - Not Started</v>
      </c>
    </row>
    <row r="68" spans="2:9">
      <c r="B68" s="5"/>
      <c r="C68" s="5" t="s">
        <v>139</v>
      </c>
      <c r="D68" s="5" t="s">
        <v>140</v>
      </c>
      <c r="E68" s="6">
        <v>0</v>
      </c>
      <c r="F68" s="7"/>
      <c r="G68" s="7"/>
      <c r="H68" s="5" t="s">
        <v>141</v>
      </c>
      <c r="I68" s="9" t="str" cm="1">
        <f t="array" ref="I68">IF(E68=1," ✓ - Completed",IF(E68&gt;0," ~ In Progress"," o - Not Started"))</f>
        <v xml:space="preserve"> o - Not Started</v>
      </c>
    </row>
    <row r="69" spans="2:9" ht="25.5">
      <c r="B69" s="5"/>
      <c r="C69" s="5" t="s">
        <v>142</v>
      </c>
      <c r="D69" s="5" t="s">
        <v>143</v>
      </c>
      <c r="E69" s="6">
        <v>0</v>
      </c>
      <c r="F69" s="7"/>
      <c r="G69" s="7"/>
      <c r="H69" s="5" t="s">
        <v>144</v>
      </c>
      <c r="I69" s="9" t="str" cm="1">
        <f t="array" ref="I69">IF(E69=1," ✓ - Completed",IF(E69&gt;0," ~ In Progress"," o - Not Started"))</f>
        <v xml:space="preserve"> o - Not Started</v>
      </c>
    </row>
    <row r="70" spans="2:9">
      <c r="B70" s="5"/>
      <c r="C70" s="5" t="s">
        <v>145</v>
      </c>
      <c r="D70" s="5" t="s">
        <v>146</v>
      </c>
      <c r="E70" s="6">
        <v>0</v>
      </c>
      <c r="F70" s="7"/>
      <c r="G70" s="7"/>
      <c r="H70" s="5" t="s">
        <v>141</v>
      </c>
      <c r="I70" s="9" t="str" cm="1">
        <f t="array" ref="I70">IF(E70=1," ✓ - Completed",IF(E70&gt;0," ~ In Progress"," o - Not Started"))</f>
        <v xml:space="preserve"> o - Not Started</v>
      </c>
    </row>
    <row r="71" spans="2:9">
      <c r="B71" s="5"/>
      <c r="C71" s="5" t="s">
        <v>147</v>
      </c>
      <c r="D71" s="5" t="s">
        <v>148</v>
      </c>
      <c r="E71" s="6">
        <v>0</v>
      </c>
      <c r="F71" s="7"/>
      <c r="G71" s="7"/>
      <c r="H71" s="5" t="s">
        <v>149</v>
      </c>
      <c r="I71" s="9" t="str" cm="1">
        <f t="array" ref="I71">IF(E71=1," ✓ - Completed",IF(E71&gt;0," ~ In Progress"," o - Not Started"))</f>
        <v xml:space="preserve"> o - Not Started</v>
      </c>
    </row>
    <row r="72" spans="2:9">
      <c r="B72" s="5"/>
      <c r="C72" s="5" t="s">
        <v>150</v>
      </c>
      <c r="D72" s="5" t="s">
        <v>151</v>
      </c>
      <c r="E72" s="6">
        <v>0</v>
      </c>
      <c r="F72" s="7"/>
      <c r="G72" s="7"/>
      <c r="H72" s="5" t="s">
        <v>152</v>
      </c>
      <c r="I72" s="9" t="str" cm="1">
        <f t="array" ref="I72">IF(E72=1," ✓ - Completed",IF(E72&gt;0," ~ In Progress"," o - Not Started"))</f>
        <v xml:space="preserve"> o - Not Started</v>
      </c>
    </row>
    <row r="73" spans="2:9">
      <c r="B73" s="5" t="s">
        <v>153</v>
      </c>
      <c r="C73" s="5" t="s">
        <v>154</v>
      </c>
      <c r="D73" s="5" t="s">
        <v>155</v>
      </c>
      <c r="E73" s="6">
        <v>0</v>
      </c>
      <c r="F73" s="7"/>
      <c r="G73" s="7"/>
      <c r="H73" s="5" t="s">
        <v>156</v>
      </c>
      <c r="I73" s="9" t="str" cm="1">
        <f t="array" ref="I73">IF(E73=1," ✓ - Completed",IF(E73&gt;0," ~ In Progress"," o - Not Started"))</f>
        <v xml:space="preserve"> o - Not Started</v>
      </c>
    </row>
    <row r="74" spans="2:9">
      <c r="B74" s="5"/>
      <c r="C74" s="5" t="s">
        <v>157</v>
      </c>
      <c r="D74" s="5" t="s">
        <v>158</v>
      </c>
      <c r="E74" s="6">
        <v>0</v>
      </c>
      <c r="F74" s="7"/>
      <c r="G74" s="7"/>
      <c r="H74" s="5" t="s">
        <v>159</v>
      </c>
      <c r="I74" s="9" t="str" cm="1">
        <f t="array" ref="I74">IF(E74=1," ✓ - Completed",IF(E74&gt;0," ~ In Progress"," o - Not Started"))</f>
        <v xml:space="preserve"> o - Not Started</v>
      </c>
    </row>
    <row r="75" spans="2:9">
      <c r="B75" s="5"/>
      <c r="C75" s="5" t="s">
        <v>160</v>
      </c>
      <c r="D75" s="5" t="s">
        <v>161</v>
      </c>
      <c r="E75" s="6">
        <v>0</v>
      </c>
      <c r="F75" s="7"/>
      <c r="G75" s="7"/>
      <c r="H75" s="5" t="s">
        <v>162</v>
      </c>
      <c r="I75" s="9" t="str" cm="1">
        <f t="array" ref="I75">IF(E75=1," ✓ - Completed",IF(E75&gt;0," ~ In Progress"," o - Not Started"))</f>
        <v xml:space="preserve"> o - Not Started</v>
      </c>
    </row>
    <row r="76" spans="2:9">
      <c r="B76" s="5"/>
      <c r="C76" s="5" t="s">
        <v>163</v>
      </c>
      <c r="D76" s="5" t="s">
        <v>164</v>
      </c>
      <c r="E76" s="6">
        <v>0</v>
      </c>
      <c r="F76" s="7"/>
      <c r="G76" s="7"/>
      <c r="H76" s="5" t="s">
        <v>159</v>
      </c>
      <c r="I76" s="9" t="str" cm="1">
        <f t="array" ref="I76">IF(E76=1," ✓ - Completed",IF(E76&gt;0," ~ In Progress"," o - Not Started"))</f>
        <v xml:space="preserve"> o - Not Started</v>
      </c>
    </row>
    <row r="77" spans="2:9">
      <c r="B77" s="5"/>
      <c r="C77" s="5" t="s">
        <v>165</v>
      </c>
      <c r="D77" s="5" t="s">
        <v>166</v>
      </c>
      <c r="E77" s="6">
        <v>0</v>
      </c>
      <c r="F77" s="7"/>
      <c r="G77" s="7"/>
      <c r="H77" s="5" t="s">
        <v>167</v>
      </c>
      <c r="I77" s="9" t="str" cm="1">
        <f t="array" ref="I77">IF(E77=1," ✓ - Completed",IF(E77&gt;0," ~ In Progress"," o - Not Started"))</f>
        <v xml:space="preserve"> o - Not Started</v>
      </c>
    </row>
    <row r="78" spans="2:9">
      <c r="B78" s="5"/>
      <c r="C78" s="5" t="s">
        <v>168</v>
      </c>
      <c r="D78" s="5" t="s">
        <v>169</v>
      </c>
      <c r="E78" s="6">
        <v>0</v>
      </c>
      <c r="F78" s="7"/>
      <c r="G78" s="7"/>
      <c r="H78" s="5" t="s">
        <v>167</v>
      </c>
      <c r="I78" s="9" t="str" cm="1">
        <f t="array" ref="I78">IF(E78=1," ✓ - Completed",IF(E78&gt;0," ~ In Progress"," o - Not Started"))</f>
        <v xml:space="preserve"> o - Not Started</v>
      </c>
    </row>
    <row r="79" spans="2:9">
      <c r="B79" s="5"/>
      <c r="C79" s="5" t="s">
        <v>170</v>
      </c>
      <c r="D79" s="5" t="s">
        <v>171</v>
      </c>
      <c r="E79" s="6">
        <v>0</v>
      </c>
      <c r="F79" s="7"/>
      <c r="G79" s="7"/>
      <c r="H79" s="5" t="s">
        <v>162</v>
      </c>
      <c r="I79" s="9" t="str" cm="1">
        <f t="array" ref="I79">IF(E79=1," ✓ - Completed",IF(E79&gt;0," ~ In Progress"," o - Not Started"))</f>
        <v xml:space="preserve"> o - Not Started</v>
      </c>
    </row>
    <row r="80" spans="2:9">
      <c r="B80" s="5"/>
      <c r="C80" s="5" t="s">
        <v>172</v>
      </c>
      <c r="D80" s="5" t="s">
        <v>173</v>
      </c>
      <c r="E80" s="6">
        <v>0</v>
      </c>
      <c r="F80" s="7"/>
      <c r="G80" s="7"/>
      <c r="H80" s="5" t="s">
        <v>174</v>
      </c>
      <c r="I80" s="9" t="str" cm="1">
        <f t="array" ref="I80">IF(E80=1," ✓ - Completed",IF(E80&gt;0," ~ In Progress"," o - Not Started"))</f>
        <v xml:space="preserve"> o - Not Started</v>
      </c>
    </row>
    <row r="81" spans="2:9" ht="25.5">
      <c r="B81" s="5"/>
      <c r="C81" s="5" t="s">
        <v>175</v>
      </c>
      <c r="D81" s="5" t="s">
        <v>176</v>
      </c>
      <c r="E81" s="6">
        <v>0</v>
      </c>
      <c r="F81" s="7"/>
      <c r="G81" s="7"/>
      <c r="H81" s="5" t="s">
        <v>174</v>
      </c>
      <c r="I81" s="9" t="str" cm="1">
        <f t="array" ref="I81">IF(E81=1," ✓ - Completed",IF(E81&gt;0," ~ In Progress"," o - Not Started"))</f>
        <v xml:space="preserve"> o - Not Started</v>
      </c>
    </row>
    <row r="82" spans="2:9">
      <c r="B82" s="5"/>
      <c r="C82" s="5" t="s">
        <v>177</v>
      </c>
      <c r="D82" s="5" t="s">
        <v>178</v>
      </c>
      <c r="E82" s="6">
        <v>0</v>
      </c>
      <c r="F82" s="7"/>
      <c r="G82" s="7"/>
      <c r="H82" s="5" t="s">
        <v>179</v>
      </c>
      <c r="I82" s="9" t="str" cm="1">
        <f t="array" ref="I82">IF(E82=1," ✓ - Completed",IF(E82&gt;0," ~ In Progress"," o - Not Started"))</f>
        <v xml:space="preserve"> o - Not Started</v>
      </c>
    </row>
    <row r="83" spans="2:9">
      <c r="B83" s="5" t="s">
        <v>180</v>
      </c>
      <c r="C83" s="5" t="s">
        <v>181</v>
      </c>
      <c r="D83" s="5" t="s">
        <v>182</v>
      </c>
      <c r="E83" s="6">
        <v>0</v>
      </c>
      <c r="F83" s="7"/>
      <c r="G83" s="7"/>
      <c r="H83" s="5" t="s">
        <v>115</v>
      </c>
      <c r="I83" s="9" t="str" cm="1">
        <f t="array" ref="I83">IF(E83=1," ✓ - Completed",IF(E83&gt;0," ~ In Progress"," o - Not Started"))</f>
        <v xml:space="preserve"> o - Not Started</v>
      </c>
    </row>
    <row r="84" spans="2:9">
      <c r="B84" s="5"/>
      <c r="C84" s="5" t="s">
        <v>183</v>
      </c>
      <c r="D84" s="5" t="s">
        <v>184</v>
      </c>
      <c r="E84" s="6">
        <v>0</v>
      </c>
      <c r="F84" s="7"/>
      <c r="G84" s="7"/>
      <c r="H84" s="5" t="s">
        <v>156</v>
      </c>
      <c r="I84" s="9" t="str" cm="1">
        <f t="array" ref="I84">IF(E84=1," ✓ - Completed",IF(E84&gt;0," ~ In Progress"," o - Not Started"))</f>
        <v xml:space="preserve"> o - Not Started</v>
      </c>
    </row>
    <row r="85" spans="2:9">
      <c r="B85" s="5"/>
      <c r="C85" s="5" t="s">
        <v>185</v>
      </c>
      <c r="D85" s="5" t="s">
        <v>186</v>
      </c>
      <c r="E85" s="6">
        <v>0</v>
      </c>
      <c r="F85" s="7"/>
      <c r="G85" s="7"/>
      <c r="H85" s="5" t="s">
        <v>174</v>
      </c>
      <c r="I85" s="9" t="str" cm="1">
        <f t="array" ref="I85">IF(E85=1," ✓ - Completed",IF(E85&gt;0," ~ In Progress"," o - Not Started"))</f>
        <v xml:space="preserve"> o - Not Started</v>
      </c>
    </row>
    <row r="86" spans="2:9" ht="25.5">
      <c r="B86" s="5"/>
      <c r="C86" s="5" t="s">
        <v>187</v>
      </c>
      <c r="D86" s="5" t="s">
        <v>188</v>
      </c>
      <c r="E86" s="6">
        <v>0</v>
      </c>
      <c r="F86" s="7"/>
      <c r="G86" s="7"/>
      <c r="H86" s="5" t="s">
        <v>189</v>
      </c>
      <c r="I86" s="9" t="str" cm="1">
        <f t="array" ref="I86">IF(E86=1," ✓ - Completed",IF(E86&gt;0," ~ In Progress"," o - Not Started"))</f>
        <v xml:space="preserve"> o - Not Started</v>
      </c>
    </row>
    <row r="87" spans="2:9" ht="25.5">
      <c r="B87" s="5"/>
      <c r="C87" s="5" t="s">
        <v>190</v>
      </c>
      <c r="D87" s="5" t="s">
        <v>191</v>
      </c>
      <c r="E87" s="6">
        <v>0</v>
      </c>
      <c r="F87" s="7"/>
      <c r="G87" s="7"/>
      <c r="H87" s="5" t="s">
        <v>192</v>
      </c>
      <c r="I87" s="9" t="str" cm="1">
        <f t="array" ref="I87">IF(E87=1," ✓ - Completed",IF(E87&gt;0," ~ In Progress"," o - Not Started"))</f>
        <v xml:space="preserve"> o - Not Started</v>
      </c>
    </row>
    <row r="88" spans="2:9">
      <c r="B88" s="5"/>
      <c r="C88" s="5"/>
      <c r="D88" s="5"/>
      <c r="E88" s="6"/>
      <c r="F88" s="7"/>
      <c r="G88" s="7"/>
      <c r="H88" s="5"/>
      <c r="I88" s="9" cm="1"/>
    </row>
    <row r="89" spans="2:9">
      <c r="B89" s="5"/>
      <c r="C89" s="5"/>
      <c r="D89" s="5"/>
      <c r="E89" s="6"/>
      <c r="F89" s="7"/>
      <c r="G89" s="7"/>
      <c r="H89" s="5"/>
      <c r="I89" s="9" cm="1"/>
    </row>
    <row r="90" spans="2:9">
      <c r="B90" s="5"/>
      <c r="C90" s="5"/>
      <c r="D90" s="5"/>
      <c r="E90" s="6"/>
      <c r="F90" s="7"/>
      <c r="G90" s="7"/>
      <c r="H90" s="5"/>
      <c r="I90" s="9" cm="1"/>
    </row>
    <row r="91" spans="2:9">
      <c r="B91" s="5"/>
      <c r="C91" s="5"/>
      <c r="D91" s="5"/>
      <c r="E91" s="6"/>
      <c r="F91" s="7"/>
      <c r="G91" s="7"/>
      <c r="H91" s="5"/>
      <c r="I91" s="9" cm="1"/>
    </row>
    <row r="92" spans="2:9">
      <c r="B92" s="5"/>
      <c r="C92" s="5"/>
      <c r="D92" s="5"/>
      <c r="E92" s="6"/>
      <c r="F92" s="7"/>
      <c r="G92" s="7"/>
      <c r="H92" s="5"/>
      <c r="I92" s="9" cm="1"/>
    </row>
    <row r="93" spans="2:9">
      <c r="B93" s="5"/>
      <c r="C93" s="5"/>
      <c r="D93" s="5"/>
      <c r="E93" s="6"/>
      <c r="F93" s="7"/>
      <c r="G93" s="7"/>
      <c r="H93" s="5"/>
      <c r="I93" s="9" cm="1"/>
    </row>
    <row r="94" spans="2:9">
      <c r="B94" s="5"/>
      <c r="C94" s="5"/>
      <c r="D94" s="5"/>
      <c r="E94" s="6"/>
      <c r="F94" s="7"/>
      <c r="G94" s="7"/>
      <c r="H94" s="5"/>
      <c r="I94" s="9" cm="1"/>
    </row>
    <row r="95" spans="2:9">
      <c r="B95" s="5"/>
      <c r="C95" s="5"/>
      <c r="D95" s="5"/>
      <c r="E95" s="6"/>
      <c r="F95" s="7"/>
      <c r="G95" s="7"/>
      <c r="H95" s="5"/>
      <c r="I95" s="9" cm="1"/>
    </row>
    <row r="96" spans="2:9">
      <c r="B96" s="5"/>
      <c r="C96" s="5"/>
      <c r="D96" s="5"/>
      <c r="E96" s="6"/>
      <c r="F96" s="7"/>
      <c r="G96" s="7"/>
      <c r="H96" s="5"/>
      <c r="I96" s="9" cm="1"/>
    </row>
    <row r="97" spans="2:9">
      <c r="B97" s="5"/>
      <c r="C97" s="5"/>
      <c r="D97" s="5"/>
      <c r="E97" s="6"/>
      <c r="F97" s="7"/>
      <c r="G97" s="7"/>
      <c r="H97" s="5"/>
      <c r="I97" s="9" cm="1"/>
    </row>
    <row r="98" spans="2:9">
      <c r="B98" s="5"/>
      <c r="C98" s="5"/>
      <c r="D98" s="5"/>
      <c r="E98" s="6"/>
      <c r="F98" s="7"/>
      <c r="G98" s="7"/>
      <c r="H98" s="5"/>
      <c r="I98" s="9" cm="1"/>
    </row>
    <row r="99" spans="2:9">
      <c r="B99" s="5"/>
      <c r="C99" s="5"/>
      <c r="D99" s="5"/>
      <c r="E99" s="6"/>
      <c r="F99" s="7"/>
      <c r="G99" s="7"/>
      <c r="H99" s="5"/>
      <c r="I99" s="9" cm="1"/>
    </row>
    <row r="100" spans="2:9">
      <c r="B100" s="5"/>
      <c r="C100" s="5"/>
      <c r="D100" s="5"/>
      <c r="E100" s="6"/>
      <c r="F100" s="7"/>
      <c r="G100" s="7"/>
      <c r="H100" s="5"/>
      <c r="I100" s="9" cm="1"/>
    </row>
    <row r="101" spans="2:9">
      <c r="B101" s="5"/>
      <c r="C101" s="5"/>
      <c r="D101" s="5"/>
      <c r="E101" s="6"/>
      <c r="F101" s="7"/>
      <c r="G101" s="7"/>
      <c r="H101" s="5"/>
      <c r="I101" s="9" cm="1"/>
    </row>
    <row r="102" spans="2:9">
      <c r="B102" s="5"/>
      <c r="C102" s="5"/>
      <c r="D102" s="5"/>
      <c r="E102" s="6"/>
      <c r="F102" s="7"/>
      <c r="G102" s="7"/>
      <c r="H102" s="5"/>
      <c r="I102" s="9" cm="1"/>
    </row>
    <row r="103" spans="2:9">
      <c r="B103" s="5"/>
      <c r="C103" s="5"/>
      <c r="D103" s="5"/>
      <c r="E103" s="6"/>
      <c r="F103" s="7"/>
      <c r="G103" s="7"/>
      <c r="H103" s="5"/>
      <c r="I103" s="9" cm="1"/>
    </row>
    <row r="104" spans="2:9">
      <c r="B104" s="5"/>
      <c r="C104" s="5"/>
      <c r="D104" s="5"/>
      <c r="E104" s="6"/>
      <c r="F104" s="7"/>
      <c r="G104" s="7"/>
      <c r="H104" s="5"/>
      <c r="I104" s="9" cm="1"/>
    </row>
    <row r="105" spans="2:9">
      <c r="B105" s="5"/>
      <c r="C105" s="5"/>
      <c r="D105" s="5"/>
      <c r="E105" s="6"/>
      <c r="F105" s="7"/>
      <c r="G105" s="7"/>
      <c r="H105" s="5"/>
      <c r="I105" s="9" cm="1"/>
    </row>
    <row r="106" spans="2:9">
      <c r="B106" s="5"/>
      <c r="C106" s="5"/>
      <c r="D106" s="5"/>
      <c r="E106" s="6"/>
      <c r="F106" s="7"/>
      <c r="G106" s="7"/>
      <c r="H106" s="5"/>
      <c r="I106" s="9" cm="1"/>
    </row>
    <row r="107" spans="2:9">
      <c r="B107" s="5"/>
      <c r="C107" s="5"/>
      <c r="D107" s="5"/>
      <c r="E107" s="6"/>
      <c r="F107" s="7"/>
      <c r="G107" s="7"/>
      <c r="H107" s="5"/>
      <c r="I107" s="9" cm="1"/>
    </row>
    <row r="108" spans="2:9">
      <c r="B108" s="5"/>
      <c r="C108" s="5"/>
      <c r="D108" s="5"/>
      <c r="E108" s="6"/>
      <c r="F108" s="7"/>
      <c r="G108" s="7"/>
      <c r="H108" s="5"/>
      <c r="I108" s="9" cm="1"/>
    </row>
    <row r="109" spans="2:9">
      <c r="B109" s="5"/>
      <c r="C109" s="5"/>
      <c r="D109" s="5"/>
      <c r="E109" s="6"/>
      <c r="F109" s="7"/>
      <c r="G109" s="7"/>
      <c r="H109" s="5"/>
      <c r="I109" s="9" cm="1"/>
    </row>
    <row r="110" spans="2:9">
      <c r="B110" s="5"/>
      <c r="C110" s="5"/>
      <c r="D110" s="5"/>
      <c r="E110" s="6"/>
      <c r="F110" s="7"/>
      <c r="G110" s="7"/>
      <c r="H110" s="5"/>
      <c r="I110" s="9" cm="1"/>
    </row>
    <row r="111" spans="2:9">
      <c r="B111" s="5"/>
      <c r="C111" s="5"/>
      <c r="D111" s="5"/>
      <c r="E111" s="6"/>
      <c r="F111" s="7"/>
      <c r="G111" s="7"/>
      <c r="H111" s="5"/>
      <c r="I111" s="9" cm="1"/>
    </row>
    <row r="112" spans="2:9">
      <c r="B112" s="5"/>
      <c r="C112" s="5"/>
      <c r="D112" s="5"/>
      <c r="E112" s="6"/>
      <c r="F112" s="7"/>
      <c r="G112" s="7"/>
      <c r="H112" s="5"/>
      <c r="I112" s="9" cm="1"/>
    </row>
    <row r="113" spans="2:9">
      <c r="B113" s="5"/>
      <c r="C113" s="5"/>
      <c r="D113" s="5"/>
      <c r="E113" s="6"/>
      <c r="F113" s="7"/>
      <c r="G113" s="7"/>
      <c r="H113" s="5"/>
      <c r="I113" s="9" cm="1"/>
    </row>
    <row r="114" spans="2:9">
      <c r="B114" s="5"/>
      <c r="C114" s="5"/>
      <c r="D114" s="5"/>
      <c r="E114" s="6"/>
      <c r="F114" s="7"/>
      <c r="G114" s="7"/>
      <c r="H114" s="5"/>
      <c r="I114" s="9" cm="1"/>
    </row>
    <row r="115" spans="2:9">
      <c r="B115" s="5"/>
      <c r="C115" s="5"/>
      <c r="D115" s="5"/>
      <c r="E115" s="6"/>
      <c r="F115" s="7"/>
      <c r="G115" s="7"/>
      <c r="H115" s="5"/>
      <c r="I115" s="9" cm="1"/>
    </row>
    <row r="116" spans="2:9">
      <c r="B116" s="5"/>
      <c r="C116" s="5"/>
      <c r="D116" s="5"/>
      <c r="E116" s="6"/>
      <c r="F116" s="7"/>
      <c r="G116" s="7"/>
      <c r="H116" s="5"/>
      <c r="I116" s="9" cm="1"/>
    </row>
    <row r="117" spans="2:9">
      <c r="B117" s="5"/>
      <c r="C117" s="5"/>
      <c r="D117" s="5"/>
      <c r="E117" s="6"/>
      <c r="F117" s="7"/>
      <c r="G117" s="7"/>
      <c r="H117" s="5"/>
      <c r="I117" s="9" cm="1"/>
    </row>
    <row r="118" spans="2:9">
      <c r="B118" s="5"/>
      <c r="C118" s="5"/>
      <c r="D118" s="5"/>
      <c r="E118" s="6"/>
      <c r="F118" s="7"/>
      <c r="G118" s="7"/>
      <c r="H118" s="5"/>
      <c r="I118" s="9" cm="1"/>
    </row>
    <row r="119" spans="2:9">
      <c r="B119" s="5"/>
      <c r="C119" s="5"/>
      <c r="D119" s="5"/>
      <c r="E119" s="6"/>
      <c r="F119" s="7"/>
      <c r="G119" s="7"/>
      <c r="H119" s="5"/>
      <c r="I119" s="9" cm="1"/>
    </row>
    <row r="120" spans="2:9">
      <c r="B120" s="5"/>
      <c r="C120" s="5"/>
      <c r="D120" s="5"/>
      <c r="E120" s="6"/>
      <c r="F120" s="7"/>
      <c r="G120" s="7"/>
      <c r="H120" s="5"/>
      <c r="I120" s="9" cm="1"/>
    </row>
    <row r="121" spans="2:9">
      <c r="B121" s="5"/>
      <c r="C121" s="5"/>
      <c r="D121" s="5"/>
      <c r="E121" s="6"/>
      <c r="F121" s="7"/>
      <c r="G121" s="7"/>
      <c r="H121" s="5"/>
      <c r="I121" s="9" cm="1"/>
    </row>
    <row r="122" spans="2:9">
      <c r="B122" s="5"/>
      <c r="C122" s="5"/>
      <c r="D122" s="5"/>
      <c r="E122" s="6"/>
      <c r="F122" s="7"/>
      <c r="G122" s="7"/>
      <c r="H122" s="5"/>
      <c r="I122" s="9" cm="1"/>
    </row>
    <row r="123" spans="2:9">
      <c r="B123" s="5"/>
      <c r="C123" s="5"/>
      <c r="D123" s="5"/>
      <c r="E123" s="6"/>
      <c r="F123" s="7"/>
      <c r="G123" s="7"/>
      <c r="H123" s="5"/>
      <c r="I123" s="9" cm="1"/>
    </row>
    <row r="124" spans="2:9">
      <c r="B124" s="5"/>
      <c r="C124" s="5"/>
      <c r="D124" s="5"/>
      <c r="E124" s="6"/>
      <c r="F124" s="7"/>
      <c r="G124" s="7"/>
      <c r="H124" s="5"/>
      <c r="I124" s="9" cm="1"/>
    </row>
    <row r="125" spans="2:9">
      <c r="B125" s="5"/>
      <c r="C125" s="5"/>
      <c r="D125" s="5"/>
      <c r="E125" s="6"/>
      <c r="F125" s="7"/>
      <c r="G125" s="7"/>
      <c r="H125" s="5"/>
      <c r="I125" s="9" cm="1"/>
    </row>
    <row r="126" spans="2:9">
      <c r="B126" s="5"/>
      <c r="C126" s="5"/>
      <c r="D126" s="5"/>
      <c r="E126" s="6"/>
      <c r="F126" s="7"/>
      <c r="G126" s="7"/>
      <c r="H126" s="5"/>
      <c r="I126" s="9" cm="1"/>
    </row>
    <row r="127" spans="2:9">
      <c r="B127" s="5"/>
      <c r="C127" s="5"/>
      <c r="D127" s="5"/>
      <c r="E127" s="6"/>
      <c r="F127" s="7"/>
      <c r="G127" s="7"/>
      <c r="H127" s="5"/>
      <c r="I127" s="9" cm="1"/>
    </row>
    <row r="128" spans="2:9">
      <c r="B128" s="5"/>
      <c r="C128" s="5"/>
      <c r="D128" s="5"/>
      <c r="E128" s="6"/>
      <c r="F128" s="7"/>
      <c r="G128" s="7"/>
      <c r="H128" s="5"/>
      <c r="I128" s="9" cm="1"/>
    </row>
    <row r="129" spans="2:9">
      <c r="B129" s="5"/>
      <c r="C129" s="5"/>
      <c r="D129" s="5"/>
      <c r="E129" s="6"/>
      <c r="F129" s="7"/>
      <c r="G129" s="7"/>
      <c r="H129" s="5"/>
      <c r="I129" s="9" cm="1"/>
    </row>
    <row r="130" spans="2:9">
      <c r="B130" s="5"/>
      <c r="C130" s="5"/>
      <c r="D130" s="5"/>
      <c r="E130" s="6"/>
      <c r="F130" s="7"/>
      <c r="G130" s="7"/>
      <c r="H130" s="5"/>
      <c r="I130" s="9" cm="1"/>
    </row>
    <row r="131" spans="2:9">
      <c r="B131" s="5"/>
      <c r="C131" s="5"/>
      <c r="D131" s="5"/>
      <c r="E131" s="6"/>
      <c r="F131" s="7"/>
      <c r="G131" s="7"/>
      <c r="H131" s="5"/>
      <c r="I131" s="9" cm="1"/>
    </row>
    <row r="132" spans="2:9">
      <c r="B132" s="5"/>
      <c r="C132" s="5"/>
      <c r="D132" s="5"/>
      <c r="E132" s="6"/>
      <c r="F132" s="7"/>
      <c r="G132" s="7"/>
      <c r="H132" s="5"/>
      <c r="I132" s="9" cm="1"/>
    </row>
    <row r="133" spans="2:9">
      <c r="B133" s="5"/>
      <c r="C133" s="5"/>
      <c r="D133" s="5"/>
      <c r="E133" s="6"/>
      <c r="F133" s="7"/>
      <c r="G133" s="7"/>
      <c r="H133" s="5"/>
      <c r="I133" s="9" cm="1"/>
    </row>
    <row r="134" spans="2:9">
      <c r="B134" s="5"/>
      <c r="C134" s="5"/>
      <c r="D134" s="5"/>
      <c r="E134" s="6"/>
      <c r="F134" s="7"/>
      <c r="G134" s="7"/>
      <c r="H134" s="5"/>
      <c r="I134" s="9" cm="1"/>
    </row>
    <row r="135" spans="2:9">
      <c r="B135" s="5"/>
      <c r="C135" s="5"/>
      <c r="D135" s="5"/>
      <c r="E135" s="6"/>
      <c r="F135" s="7"/>
      <c r="G135" s="7"/>
      <c r="H135" s="5"/>
      <c r="I135" s="9" cm="1"/>
    </row>
    <row r="136" spans="2:9">
      <c r="B136" s="5"/>
      <c r="C136" s="5"/>
      <c r="D136" s="5"/>
      <c r="E136" s="6"/>
      <c r="F136" s="7"/>
      <c r="G136" s="7"/>
      <c r="H136" s="5"/>
      <c r="I136" s="9" cm="1"/>
    </row>
    <row r="137" spans="2:9">
      <c r="B137" s="5"/>
      <c r="C137" s="5"/>
      <c r="D137" s="5"/>
      <c r="E137" s="6"/>
      <c r="F137" s="7"/>
      <c r="G137" s="7"/>
      <c r="H137" s="5"/>
      <c r="I137" s="9" cm="1"/>
    </row>
    <row r="138" spans="2:9">
      <c r="B138" s="5"/>
      <c r="C138" s="5"/>
      <c r="D138" s="5"/>
      <c r="E138" s="6"/>
      <c r="F138" s="7"/>
      <c r="G138" s="7"/>
      <c r="H138" s="5"/>
      <c r="I138" s="9" cm="1"/>
    </row>
    <row r="139" spans="2:9">
      <c r="B139" s="5"/>
      <c r="C139" s="5"/>
      <c r="D139" s="5"/>
      <c r="E139" s="6"/>
      <c r="F139" s="7"/>
      <c r="G139" s="7"/>
      <c r="H139" s="5"/>
      <c r="I139" s="9" cm="1"/>
    </row>
    <row r="140" spans="2:9">
      <c r="B140" s="5"/>
      <c r="C140" s="5"/>
      <c r="D140" s="5"/>
      <c r="E140" s="6"/>
      <c r="F140" s="7"/>
      <c r="G140" s="7"/>
      <c r="H140" s="5"/>
      <c r="I140" s="9" cm="1"/>
    </row>
    <row r="141" spans="2:9">
      <c r="B141" s="5"/>
      <c r="C141" s="5"/>
      <c r="D141" s="5"/>
      <c r="E141" s="6"/>
      <c r="F141" s="7"/>
      <c r="G141" s="7"/>
      <c r="H141" s="5"/>
      <c r="I141" s="9" cm="1"/>
    </row>
    <row r="142" spans="2:9">
      <c r="B142" s="5"/>
      <c r="C142" s="5"/>
      <c r="D142" s="5"/>
      <c r="E142" s="6"/>
      <c r="F142" s="7"/>
      <c r="G142" s="7"/>
      <c r="H142" s="5"/>
      <c r="I142" s="9" cm="1"/>
    </row>
    <row r="143" spans="2:9">
      <c r="B143" s="5"/>
      <c r="C143" s="5"/>
      <c r="D143" s="5"/>
      <c r="E143" s="6"/>
      <c r="F143" s="7"/>
      <c r="G143" s="7"/>
      <c r="H143" s="5"/>
      <c r="I143" s="9" cm="1"/>
    </row>
    <row r="144" spans="2:9">
      <c r="B144" s="5"/>
      <c r="C144" s="5"/>
      <c r="D144" s="5"/>
      <c r="E144" s="6"/>
      <c r="F144" s="7"/>
      <c r="G144" s="7"/>
      <c r="H144" s="5"/>
      <c r="I144" s="9" cm="1"/>
    </row>
    <row r="145" spans="2:9">
      <c r="B145" s="5"/>
      <c r="C145" s="5"/>
      <c r="D145" s="5"/>
      <c r="E145" s="6"/>
      <c r="F145" s="7"/>
      <c r="G145" s="7"/>
      <c r="H145" s="5"/>
      <c r="I145" s="9" cm="1"/>
    </row>
    <row r="146" spans="2:9">
      <c r="B146" s="5"/>
      <c r="C146" s="5"/>
      <c r="D146" s="5"/>
      <c r="E146" s="6"/>
      <c r="F146" s="7"/>
      <c r="G146" s="7"/>
      <c r="H146" s="5"/>
      <c r="I146" s="9" cm="1"/>
    </row>
    <row r="147" spans="2:9">
      <c r="B147" s="5"/>
      <c r="C147" s="5"/>
      <c r="D147" s="5"/>
      <c r="E147" s="6"/>
      <c r="F147" s="7"/>
      <c r="G147" s="7"/>
      <c r="H147" s="5"/>
      <c r="I147" s="9" cm="1"/>
    </row>
    <row r="148" spans="2:9">
      <c r="B148" s="5"/>
      <c r="C148" s="5"/>
      <c r="D148" s="5"/>
      <c r="E148" s="6"/>
      <c r="F148" s="7"/>
      <c r="G148" s="7"/>
      <c r="H148" s="5"/>
      <c r="I148" s="9" cm="1"/>
    </row>
    <row r="149" spans="2:9">
      <c r="B149" s="5"/>
      <c r="C149" s="5"/>
      <c r="D149" s="5"/>
      <c r="E149" s="6"/>
      <c r="F149" s="7"/>
      <c r="G149" s="7"/>
      <c r="H149" s="5"/>
      <c r="I149" s="9" cm="1"/>
    </row>
    <row r="150" spans="2:9">
      <c r="B150" s="5"/>
      <c r="C150" s="5"/>
      <c r="D150" s="5"/>
      <c r="E150" s="6"/>
      <c r="F150" s="7"/>
      <c r="G150" s="7"/>
      <c r="H150" s="5"/>
      <c r="I150" s="9" cm="1"/>
    </row>
    <row r="151" spans="2:9">
      <c r="B151" s="5"/>
      <c r="C151" s="5"/>
      <c r="D151" s="5"/>
      <c r="E151" s="6"/>
      <c r="F151" s="7"/>
      <c r="G151" s="7"/>
      <c r="H151" s="5"/>
      <c r="I151" s="9" cm="1"/>
    </row>
    <row r="152" spans="2:9">
      <c r="B152" s="5"/>
      <c r="C152" s="5"/>
      <c r="D152" s="5"/>
      <c r="E152" s="6"/>
      <c r="F152" s="7"/>
      <c r="G152" s="7"/>
      <c r="H152" s="5"/>
      <c r="I152" s="9" cm="1"/>
    </row>
    <row r="153" spans="2:9">
      <c r="B153" s="5"/>
      <c r="C153" s="5"/>
      <c r="D153" s="5"/>
      <c r="E153" s="6"/>
      <c r="F153" s="7"/>
      <c r="G153" s="7"/>
      <c r="H153" s="5"/>
      <c r="I153" s="9" cm="1"/>
    </row>
    <row r="154" spans="2:9">
      <c r="B154" s="5"/>
      <c r="C154" s="5"/>
      <c r="D154" s="5"/>
      <c r="E154" s="6"/>
      <c r="F154" s="7"/>
      <c r="G154" s="7"/>
      <c r="H154" s="5"/>
      <c r="I154" s="9" cm="1"/>
    </row>
    <row r="155" spans="2:9">
      <c r="B155" s="5"/>
      <c r="C155" s="5"/>
      <c r="D155" s="5"/>
      <c r="E155" s="6"/>
      <c r="F155" s="7"/>
      <c r="G155" s="7"/>
      <c r="H155" s="5"/>
      <c r="I155" s="9" cm="1"/>
    </row>
    <row r="156" spans="2:9">
      <c r="B156" s="5"/>
      <c r="C156" s="5"/>
      <c r="D156" s="5"/>
      <c r="E156" s="6"/>
      <c r="F156" s="7"/>
      <c r="G156" s="7"/>
      <c r="H156" s="5"/>
      <c r="I156" s="9" cm="1"/>
    </row>
    <row r="157" spans="2:9">
      <c r="B157" s="5"/>
      <c r="C157" s="5"/>
      <c r="D157" s="5"/>
      <c r="E157" s="6"/>
      <c r="F157" s="7"/>
      <c r="G157" s="7"/>
      <c r="H157" s="5"/>
      <c r="I157" s="9" cm="1"/>
    </row>
    <row r="158" spans="2:9">
      <c r="B158" s="5"/>
      <c r="C158" s="5"/>
      <c r="D158" s="5"/>
      <c r="E158" s="6"/>
      <c r="F158" s="7"/>
      <c r="G158" s="7"/>
      <c r="H158" s="5"/>
      <c r="I158" s="9" cm="1"/>
    </row>
    <row r="159" spans="2:9">
      <c r="B159" s="5"/>
      <c r="C159" s="5"/>
      <c r="D159" s="5"/>
      <c r="E159" s="6"/>
      <c r="F159" s="7"/>
      <c r="G159" s="7"/>
      <c r="H159" s="5"/>
      <c r="I159" s="9" cm="1"/>
    </row>
    <row r="160" spans="2:9">
      <c r="B160" s="5"/>
      <c r="C160" s="5"/>
      <c r="D160" s="5"/>
      <c r="E160" s="6"/>
      <c r="F160" s="7"/>
      <c r="G160" s="7"/>
      <c r="H160" s="5"/>
      <c r="I160" s="9" cm="1"/>
    </row>
    <row r="161" spans="2:9">
      <c r="B161" s="5"/>
      <c r="C161" s="5"/>
      <c r="D161" s="5"/>
      <c r="E161" s="6"/>
      <c r="F161" s="7"/>
      <c r="G161" s="7"/>
      <c r="H161" s="5"/>
      <c r="I161" s="9" cm="1"/>
    </row>
    <row r="162" spans="2:9">
      <c r="B162" s="5"/>
      <c r="C162" s="5"/>
      <c r="D162" s="5"/>
      <c r="E162" s="6"/>
      <c r="F162" s="7"/>
      <c r="G162" s="7"/>
      <c r="H162" s="5"/>
      <c r="I162" s="9" cm="1"/>
    </row>
    <row r="163" spans="2:9">
      <c r="B163" s="5"/>
      <c r="C163" s="5"/>
      <c r="D163" s="5"/>
      <c r="E163" s="6"/>
      <c r="F163" s="7"/>
      <c r="G163" s="7"/>
      <c r="H163" s="5"/>
      <c r="I163" s="9" cm="1"/>
    </row>
    <row r="164" spans="2:9">
      <c r="B164" s="5"/>
      <c r="C164" s="5"/>
      <c r="D164" s="5"/>
      <c r="E164" s="6"/>
      <c r="F164" s="7"/>
      <c r="G164" s="7"/>
      <c r="H164" s="5"/>
      <c r="I164" s="9" cm="1"/>
    </row>
    <row r="165" spans="2:9">
      <c r="B165" s="5"/>
      <c r="C165" s="5"/>
      <c r="D165" s="5"/>
      <c r="E165" s="6"/>
      <c r="F165" s="7"/>
      <c r="G165" s="7"/>
      <c r="H165" s="5"/>
      <c r="I165" s="9" cm="1"/>
    </row>
    <row r="166" spans="2:9">
      <c r="B166" s="5"/>
      <c r="C166" s="5"/>
      <c r="D166" s="5"/>
      <c r="E166" s="6"/>
      <c r="F166" s="7"/>
      <c r="G166" s="7"/>
      <c r="H166" s="5"/>
      <c r="I166" s="9" cm="1"/>
    </row>
  </sheetData>
  <conditionalFormatting sqref="E19:E166">
    <cfRule type="expression" dxfId="6" priority="4">
      <formula>E19&lt;0.5</formula>
    </cfRule>
    <cfRule type="expression" dxfId="5" priority="5">
      <formula>AND(E19&gt;=0.5,E19&lt;1)</formula>
    </cfRule>
    <cfRule type="expression" dxfId="4" priority="6">
      <formula>E19=1</formula>
    </cfRule>
  </conditionalFormatting>
  <conditionalFormatting sqref="I1:I1048576">
    <cfRule type="containsText" dxfId="3" priority="1" operator="containsText" text="not started">
      <formula>NOT(ISERROR(SEARCH("not started",I1)))</formula>
    </cfRule>
    <cfRule type="containsText" dxfId="2" priority="2" operator="containsText" text="progress">
      <formula>NOT(ISERROR(SEARCH("progress",I1)))</formula>
    </cfRule>
    <cfRule type="containsText" dxfId="1" priority="3" operator="containsText" text="completed">
      <formula>NOT(ISERROR(SEARCH("completed",I1)))</formula>
    </cfRule>
  </conditionalFormatting>
  <conditionalFormatting sqref="I19:I166">
    <cfRule type="expression" dxfId="0" priority="7">
      <formula>I19="✓"</formula>
    </cfRule>
  </conditionalFormatting>
  <dataValidations count="1">
    <dataValidation type="decimal" sqref="E19:E166" xr:uid="{00000000-0002-0000-0000-000000000000}">
      <formula1>0</formula1>
      <formula2>1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opLeftCell="A4" workbookViewId="0">
      <selection sqref="A1:D1"/>
    </sheetView>
  </sheetViews>
  <sheetFormatPr defaultColWidth="8.83203125" defaultRowHeight="14"/>
  <cols>
    <col min="1" max="1" width="24" customWidth="1"/>
    <col min="2" max="2" width="60" customWidth="1"/>
  </cols>
  <sheetData>
    <row r="1" spans="1:4" ht="20">
      <c r="A1" s="22" t="s">
        <v>193</v>
      </c>
      <c r="B1" s="22"/>
      <c r="C1" s="22"/>
      <c r="D1" s="22"/>
    </row>
    <row r="3" spans="1:4">
      <c r="A3" s="3" t="s">
        <v>0</v>
      </c>
      <c r="B3" s="3" t="s">
        <v>1</v>
      </c>
    </row>
    <row r="4" spans="1:4">
      <c r="A4" t="s">
        <v>2</v>
      </c>
      <c r="B4">
        <f>COUNTA('Implementation Tracker'!$C$19:$C$87)</f>
        <v>69</v>
      </c>
    </row>
    <row r="5" spans="1:4">
      <c r="A5" t="s">
        <v>3</v>
      </c>
      <c r="B5">
        <f>COUNTIF('Implementation Tracker'!$E$19:$E$87,1)</f>
        <v>0</v>
      </c>
    </row>
    <row r="6" spans="1:4">
      <c r="A6" t="s">
        <v>4</v>
      </c>
      <c r="B6">
        <f>COUNTIFS('Implementation Tracker'!$E$19:$E$87,"&gt;0",'Implementation Tracker'!$E$19:$E$87,"&lt;1")</f>
        <v>0</v>
      </c>
    </row>
    <row r="7" spans="1:4">
      <c r="A7" t="s">
        <v>5</v>
      </c>
      <c r="B7">
        <f>COUNTIF('Implementation Tracker'!$E$19:$E$87,0)</f>
        <v>69</v>
      </c>
    </row>
    <row r="9" spans="1:4">
      <c r="A9" s="4" t="s">
        <v>6</v>
      </c>
      <c r="B9" s="2" t="s">
        <v>7</v>
      </c>
    </row>
    <row r="10" spans="1:4" ht="28">
      <c r="A10" s="4" t="s">
        <v>8</v>
      </c>
      <c r="B10" s="2" t="s">
        <v>194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Implementation 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Tanda</cp:lastModifiedBy>
  <dcterms:created xsi:type="dcterms:W3CDTF">2026-10-07T12:28:08Z</dcterms:created>
  <dcterms:modified xsi:type="dcterms:W3CDTF">2026-10-08T10:00:19Z</dcterms:modified>
</cp:coreProperties>
</file>